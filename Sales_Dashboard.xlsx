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Dashboard" sheetId="3" state="visible" r:id="rId3"/>
  </sheets>
  <definedNames>
    <definedName name="_xlnm._FilterDatabase" localSheetId="0" hidden="1">'Raw Data'!$A$1:$J$451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&quot;%&quot;"/>
  </numFmts>
  <fonts count="1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472C4"/>
      <sz val="14"/>
    </font>
    <font>
      <b val="1"/>
      <color rgb="00FFFFFF"/>
    </font>
    <font>
      <b val="1"/>
      <color rgb="0070AD47"/>
      <sz val="12"/>
    </font>
    <font>
      <color rgb="0070AD47"/>
    </font>
    <font>
      <b val="1"/>
      <color rgb="00FFFFFF"/>
      <sz val="16"/>
    </font>
    <font>
      <b val="1"/>
      <color rgb="004472C4"/>
      <sz val="12"/>
    </font>
    <font>
      <b val="1"/>
      <sz val="10"/>
    </font>
    <font>
      <b val="1"/>
      <color rgb="0070AD47"/>
      <sz val="14"/>
    </font>
    <font>
      <b val="1"/>
      <color rgb="00ED7D31"/>
      <sz val="14"/>
    </font>
    <font>
      <b val="1"/>
      <color rgb="009E480E"/>
      <sz val="14"/>
    </font>
    <font>
      <b val="1"/>
      <color rgb="00ED7D31"/>
      <sz val="12"/>
    </font>
    <font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0" fillId="0" borderId="1" pivotButton="0" quotePrefix="0" xfId="0"/>
    <xf numFmtId="0" fontId="3" fillId="3" borderId="0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4" fontId="0" fillId="0" borderId="0" pivotButton="0" quotePrefix="0" xfId="0"/>
    <xf numFmtId="4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4" fontId="11" fillId="0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'Calculations'!B2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'Calculations'!$A$3:$A$21</f>
            </numRef>
          </cat>
          <val>
            <numRef>
              <f>'Calculations'!$B$3:$B$21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'Calculations'!I2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'Calculations'!$H$3:$H$7</f>
            </numRef>
          </cat>
          <val>
            <numRef>
              <f>'Calculations'!$I$3:$I$7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'Calculations'!I16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'Calculations'!$H$17:$H$21</f>
            </numRef>
          </cat>
          <val>
            <numRef>
              <f>'Calculations'!$I$17:$I$21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39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Sales_Rep</t>
        </is>
      </c>
      <c r="F1" s="1" t="inlineStr">
        <is>
          <t>Units_Sold</t>
        </is>
      </c>
      <c r="G1" s="1" t="inlineStr">
        <is>
          <t>Unit_Price</t>
        </is>
      </c>
      <c r="H1" s="1" t="inlineStr">
        <is>
          <t>Revenue</t>
        </is>
      </c>
      <c r="I1" s="1" t="inlineStr">
        <is>
          <t>Cost</t>
        </is>
      </c>
      <c r="J1" s="1" t="inlineStr">
        <is>
          <t>Profit</t>
        </is>
      </c>
    </row>
    <row r="2">
      <c r="A2" s="2" t="n">
        <v>45446</v>
      </c>
      <c r="B2" t="inlineStr">
        <is>
          <t>USB-C Hub</t>
        </is>
      </c>
      <c r="C2" t="inlineStr">
        <is>
          <t>Peripherals</t>
        </is>
      </c>
      <c r="D2" t="inlineStr">
        <is>
          <t>Central</t>
        </is>
      </c>
      <c r="E2" t="inlineStr">
        <is>
          <t>Anna Kim</t>
        </is>
      </c>
      <c r="F2" t="n">
        <v>21</v>
      </c>
      <c r="G2" t="n">
        <v>54.16</v>
      </c>
      <c r="H2" t="n">
        <v>1137.3</v>
      </c>
      <c r="I2" t="n">
        <v>776.4400000000001</v>
      </c>
      <c r="J2" t="n">
        <v>360.86</v>
      </c>
    </row>
    <row r="3">
      <c r="A3" s="2" t="n">
        <v>45447</v>
      </c>
      <c r="B3" t="inlineStr">
        <is>
          <t>Webcam HD</t>
        </is>
      </c>
      <c r="C3" t="inlineStr">
        <is>
          <t>Accessories</t>
        </is>
      </c>
      <c r="D3" t="inlineStr">
        <is>
          <t>East</t>
        </is>
      </c>
      <c r="E3" t="inlineStr">
        <is>
          <t>Mike Chen</t>
        </is>
      </c>
      <c r="F3" t="n">
        <v>19</v>
      </c>
      <c r="G3" t="n">
        <v>108.61</v>
      </c>
      <c r="H3" t="n">
        <v>2063.56</v>
      </c>
      <c r="I3" t="n">
        <v>1532.25</v>
      </c>
      <c r="J3" t="n">
        <v>531.3099999999999</v>
      </c>
    </row>
    <row r="4">
      <c r="A4" s="2" t="n">
        <v>45449</v>
      </c>
      <c r="B4" t="inlineStr">
        <is>
          <t>Gaming Mouse</t>
        </is>
      </c>
      <c r="C4" t="inlineStr">
        <is>
          <t>Electronics</t>
        </is>
      </c>
      <c r="D4" t="inlineStr">
        <is>
          <t>East</t>
        </is>
      </c>
      <c r="E4" t="inlineStr">
        <is>
          <t>Emma Davis</t>
        </is>
      </c>
      <c r="F4" t="n">
        <v>26</v>
      </c>
      <c r="G4" t="n">
        <v>83.08</v>
      </c>
      <c r="H4" t="n">
        <v>2160.13</v>
      </c>
      <c r="I4" t="n">
        <v>1550.16</v>
      </c>
      <c r="J4" t="n">
        <v>609.97</v>
      </c>
    </row>
    <row r="5">
      <c r="A5" s="2" t="n">
        <v>45449</v>
      </c>
      <c r="B5" t="inlineStr">
        <is>
          <t>Gaming Mouse</t>
        </is>
      </c>
      <c r="C5" t="inlineStr">
        <is>
          <t>Storage</t>
        </is>
      </c>
      <c r="D5" t="inlineStr">
        <is>
          <t>South</t>
        </is>
      </c>
      <c r="E5" t="inlineStr">
        <is>
          <t>Mike Chen</t>
        </is>
      </c>
      <c r="F5" t="n">
        <v>23</v>
      </c>
      <c r="G5" t="n">
        <v>73.36</v>
      </c>
      <c r="H5" t="n">
        <v>1687.22</v>
      </c>
      <c r="I5" t="n">
        <v>1260.91</v>
      </c>
      <c r="J5" t="n">
        <v>426.31</v>
      </c>
    </row>
    <row r="6">
      <c r="A6" s="2" t="n">
        <v>45450</v>
      </c>
      <c r="B6" t="inlineStr">
        <is>
          <t>Wireless Keyboard</t>
        </is>
      </c>
      <c r="C6" t="inlineStr">
        <is>
          <t>Storage</t>
        </is>
      </c>
      <c r="D6" t="inlineStr">
        <is>
          <t>East</t>
        </is>
      </c>
      <c r="E6" t="inlineStr">
        <is>
          <t>James Wilson</t>
        </is>
      </c>
      <c r="F6" t="n">
        <v>20</v>
      </c>
      <c r="G6" t="n">
        <v>93.98999999999999</v>
      </c>
      <c r="H6" t="n">
        <v>1879.87</v>
      </c>
      <c r="I6" t="n">
        <v>1227.27</v>
      </c>
      <c r="J6" t="n">
        <v>652.6</v>
      </c>
    </row>
    <row r="7">
      <c r="A7" s="2" t="n">
        <v>45451</v>
      </c>
      <c r="B7" t="inlineStr">
        <is>
          <t>Portable SSD</t>
        </is>
      </c>
      <c r="C7" t="inlineStr">
        <is>
          <t>Storage</t>
        </is>
      </c>
      <c r="D7" t="inlineStr">
        <is>
          <t>South</t>
        </is>
      </c>
      <c r="E7" t="inlineStr">
        <is>
          <t>Mike Chen</t>
        </is>
      </c>
      <c r="F7" t="n">
        <v>19</v>
      </c>
      <c r="G7" t="n">
        <v>147.59</v>
      </c>
      <c r="H7" t="n">
        <v>2804.24</v>
      </c>
      <c r="I7" t="n">
        <v>1900.45</v>
      </c>
      <c r="J7" t="n">
        <v>903.79</v>
      </c>
    </row>
    <row r="8">
      <c r="A8" s="2" t="n">
        <v>45451</v>
      </c>
      <c r="B8" t="inlineStr">
        <is>
          <t>Gaming Mouse</t>
        </is>
      </c>
      <c r="C8" t="inlineStr">
        <is>
          <t>Electronics</t>
        </is>
      </c>
      <c r="D8" t="inlineStr">
        <is>
          <t>South</t>
        </is>
      </c>
      <c r="E8" t="inlineStr">
        <is>
          <t>Sarah Lee</t>
        </is>
      </c>
      <c r="F8" t="n">
        <v>23</v>
      </c>
      <c r="G8" t="n">
        <v>80.19</v>
      </c>
      <c r="H8" t="n">
        <v>1844.45</v>
      </c>
      <c r="I8" t="n">
        <v>1098</v>
      </c>
      <c r="J8" t="n">
        <v>746.45</v>
      </c>
    </row>
    <row r="9">
      <c r="A9" s="2" t="n">
        <v>45452</v>
      </c>
      <c r="B9" t="inlineStr">
        <is>
          <t>Smartphone X</t>
        </is>
      </c>
      <c r="C9" t="inlineStr">
        <is>
          <t>Electronics</t>
        </is>
      </c>
      <c r="D9" t="inlineStr">
        <is>
          <t>Central</t>
        </is>
      </c>
      <c r="E9" t="inlineStr">
        <is>
          <t>Anna Kim</t>
        </is>
      </c>
      <c r="F9" t="n">
        <v>26</v>
      </c>
      <c r="G9" t="n">
        <v>918.09</v>
      </c>
      <c r="H9" t="n">
        <v>23870.42</v>
      </c>
      <c r="I9" t="n">
        <v>16303.67</v>
      </c>
      <c r="J9" t="n">
        <v>7566.75</v>
      </c>
    </row>
    <row r="10">
      <c r="A10" s="2" t="n">
        <v>45462</v>
      </c>
      <c r="B10" t="inlineStr">
        <is>
          <t>Webcam HD</t>
        </is>
      </c>
      <c r="C10" t="inlineStr">
        <is>
          <t>Peripherals</t>
        </is>
      </c>
      <c r="D10" t="inlineStr">
        <is>
          <t>South</t>
        </is>
      </c>
      <c r="E10" t="inlineStr">
        <is>
          <t>Emma Davis</t>
        </is>
      </c>
      <c r="F10" t="n">
        <v>17</v>
      </c>
      <c r="G10" t="n">
        <v>129.9</v>
      </c>
      <c r="H10" t="n">
        <v>2208.24</v>
      </c>
      <c r="I10" t="n">
        <v>1307.57</v>
      </c>
      <c r="J10" t="n">
        <v>900.67</v>
      </c>
    </row>
    <row r="11">
      <c r="A11" s="2" t="n">
        <v>45464</v>
      </c>
      <c r="B11" t="inlineStr">
        <is>
          <t>Smartphone X</t>
        </is>
      </c>
      <c r="C11" t="inlineStr">
        <is>
          <t>Storage</t>
        </is>
      </c>
      <c r="D11" t="inlineStr">
        <is>
          <t>West</t>
        </is>
      </c>
      <c r="E11" t="inlineStr">
        <is>
          <t>John Smith</t>
        </is>
      </c>
      <c r="F11" t="n">
        <v>20</v>
      </c>
      <c r="G11" t="n">
        <v>915.0599999999999</v>
      </c>
      <c r="H11" t="n">
        <v>18301.16</v>
      </c>
      <c r="I11" t="n">
        <v>10350.17</v>
      </c>
      <c r="J11" t="n">
        <v>7951</v>
      </c>
    </row>
    <row r="12">
      <c r="A12" s="2" t="n">
        <v>45465</v>
      </c>
      <c r="B12" t="inlineStr">
        <is>
          <t>Webcam HD</t>
        </is>
      </c>
      <c r="C12" t="inlineStr">
        <is>
          <t>Accessories</t>
        </is>
      </c>
      <c r="D12" t="inlineStr">
        <is>
          <t>Central</t>
        </is>
      </c>
      <c r="E12" t="inlineStr">
        <is>
          <t>Anna Kim</t>
        </is>
      </c>
      <c r="F12" t="n">
        <v>24</v>
      </c>
      <c r="G12" t="n">
        <v>111.15</v>
      </c>
      <c r="H12" t="n">
        <v>2667.6</v>
      </c>
      <c r="I12" t="n">
        <v>1484.53</v>
      </c>
      <c r="J12" t="n">
        <v>1183.07</v>
      </c>
    </row>
    <row r="13">
      <c r="A13" s="2" t="n">
        <v>45465</v>
      </c>
      <c r="B13" t="inlineStr">
        <is>
          <t>Smartphone X</t>
        </is>
      </c>
      <c r="C13" t="inlineStr">
        <is>
          <t>Mobile</t>
        </is>
      </c>
      <c r="D13" t="inlineStr">
        <is>
          <t>South</t>
        </is>
      </c>
      <c r="E13" t="inlineStr">
        <is>
          <t>Emma Davis</t>
        </is>
      </c>
      <c r="F13" t="n">
        <v>18</v>
      </c>
      <c r="G13" t="n">
        <v>817.34</v>
      </c>
      <c r="H13" t="n">
        <v>14712.11</v>
      </c>
      <c r="I13" t="n">
        <v>9830.32</v>
      </c>
      <c r="J13" t="n">
        <v>4881.79</v>
      </c>
    </row>
    <row r="14">
      <c r="A14" s="2" t="n">
        <v>45465</v>
      </c>
      <c r="B14" t="inlineStr">
        <is>
          <t>Laptop Pro</t>
        </is>
      </c>
      <c r="C14" t="inlineStr">
        <is>
          <t>Peripherals</t>
        </is>
      </c>
      <c r="D14" t="inlineStr">
        <is>
          <t>South</t>
        </is>
      </c>
      <c r="E14" t="inlineStr">
        <is>
          <t>Mike Chen</t>
        </is>
      </c>
      <c r="F14" t="n">
        <v>21</v>
      </c>
      <c r="G14" t="n">
        <v>1156.5</v>
      </c>
      <c r="H14" t="n">
        <v>24286.51</v>
      </c>
      <c r="I14" t="n">
        <v>16397.73</v>
      </c>
      <c r="J14" t="n">
        <v>7888.79</v>
      </c>
    </row>
    <row r="15">
      <c r="A15" s="2" t="n">
        <v>45470</v>
      </c>
      <c r="B15" t="inlineStr">
        <is>
          <t>Gaming Mouse</t>
        </is>
      </c>
      <c r="C15" t="inlineStr">
        <is>
          <t>Accessories</t>
        </is>
      </c>
      <c r="D15" t="inlineStr">
        <is>
          <t>Central</t>
        </is>
      </c>
      <c r="E15" t="inlineStr">
        <is>
          <t>John Smith</t>
        </is>
      </c>
      <c r="F15" t="n">
        <v>15</v>
      </c>
      <c r="G15" t="n">
        <v>75.98</v>
      </c>
      <c r="H15" t="n">
        <v>1139.64</v>
      </c>
      <c r="I15" t="n">
        <v>796.37</v>
      </c>
      <c r="J15" t="n">
        <v>343.27</v>
      </c>
    </row>
    <row r="16">
      <c r="A16" s="2" t="n">
        <v>45470</v>
      </c>
      <c r="B16" t="inlineStr">
        <is>
          <t>Wireless Keyboard</t>
        </is>
      </c>
      <c r="C16" t="inlineStr">
        <is>
          <t>Storage</t>
        </is>
      </c>
      <c r="D16" t="inlineStr">
        <is>
          <t>Central</t>
        </is>
      </c>
      <c r="E16" t="inlineStr">
        <is>
          <t>Tom Brown</t>
        </is>
      </c>
      <c r="F16" t="n">
        <v>24</v>
      </c>
      <c r="G16" t="n">
        <v>98.56</v>
      </c>
      <c r="H16" t="n">
        <v>2365.54</v>
      </c>
      <c r="I16" t="n">
        <v>1640.55</v>
      </c>
      <c r="J16" t="n">
        <v>724.99</v>
      </c>
    </row>
    <row r="17">
      <c r="A17" s="2" t="n">
        <v>45473</v>
      </c>
      <c r="B17" t="inlineStr">
        <is>
          <t>Gaming Mouse</t>
        </is>
      </c>
      <c r="C17" t="inlineStr">
        <is>
          <t>Electronics</t>
        </is>
      </c>
      <c r="D17" t="inlineStr">
        <is>
          <t>Central</t>
        </is>
      </c>
      <c r="E17" t="inlineStr">
        <is>
          <t>James Wilson</t>
        </is>
      </c>
      <c r="F17" t="n">
        <v>16</v>
      </c>
      <c r="G17" t="n">
        <v>77.54000000000001</v>
      </c>
      <c r="H17" t="n">
        <v>1240.6</v>
      </c>
      <c r="I17" t="n">
        <v>924.4</v>
      </c>
      <c r="J17" t="n">
        <v>316.2</v>
      </c>
    </row>
    <row r="18">
      <c r="A18" s="2" t="n">
        <v>45473</v>
      </c>
      <c r="B18" t="inlineStr">
        <is>
          <t>Noise Headphones</t>
        </is>
      </c>
      <c r="C18" t="inlineStr">
        <is>
          <t>Peripherals</t>
        </is>
      </c>
      <c r="D18" t="inlineStr">
        <is>
          <t>West</t>
        </is>
      </c>
      <c r="E18" t="inlineStr">
        <is>
          <t>Mike Chen</t>
        </is>
      </c>
      <c r="F18" t="n">
        <v>31</v>
      </c>
      <c r="G18" t="n">
        <v>255.67</v>
      </c>
      <c r="H18" t="n">
        <v>7925.79</v>
      </c>
      <c r="I18" t="n">
        <v>5022.17</v>
      </c>
      <c r="J18" t="n">
        <v>2903.63</v>
      </c>
    </row>
    <row r="19">
      <c r="A19" s="2" t="n">
        <v>45476</v>
      </c>
      <c r="B19" t="inlineStr">
        <is>
          <t>Webcam HD</t>
        </is>
      </c>
      <c r="C19" t="inlineStr">
        <is>
          <t>Electronics</t>
        </is>
      </c>
      <c r="D19" t="inlineStr">
        <is>
          <t>Central</t>
        </is>
      </c>
      <c r="E19" t="inlineStr">
        <is>
          <t>Emma Davis</t>
        </is>
      </c>
      <c r="F19" t="n">
        <v>21</v>
      </c>
      <c r="G19" t="n">
        <v>124.58</v>
      </c>
      <c r="H19" t="n">
        <v>2616.23</v>
      </c>
      <c r="I19" t="n">
        <v>1641.29</v>
      </c>
      <c r="J19" t="n">
        <v>974.95</v>
      </c>
    </row>
    <row r="20">
      <c r="A20" s="2" t="n">
        <v>45476</v>
      </c>
      <c r="B20" t="inlineStr">
        <is>
          <t>Laptop Pro</t>
        </is>
      </c>
      <c r="C20" t="inlineStr">
        <is>
          <t>Electronics</t>
        </is>
      </c>
      <c r="D20" t="inlineStr">
        <is>
          <t>South</t>
        </is>
      </c>
      <c r="E20" t="inlineStr">
        <is>
          <t>Emma Davis</t>
        </is>
      </c>
      <c r="F20" t="n">
        <v>24</v>
      </c>
      <c r="G20" t="n">
        <v>1123.64</v>
      </c>
      <c r="H20" t="n">
        <v>26967.31</v>
      </c>
      <c r="I20" t="n">
        <v>15821.21</v>
      </c>
      <c r="J20" t="n">
        <v>11146.1</v>
      </c>
    </row>
    <row r="21">
      <c r="A21" s="2" t="n">
        <v>45481</v>
      </c>
      <c r="B21" t="inlineStr">
        <is>
          <t>Noise Headphones</t>
        </is>
      </c>
      <c r="C21" t="inlineStr">
        <is>
          <t>Storage</t>
        </is>
      </c>
      <c r="D21" t="inlineStr">
        <is>
          <t>South</t>
        </is>
      </c>
      <c r="E21" t="inlineStr">
        <is>
          <t>James Wilson</t>
        </is>
      </c>
      <c r="F21" t="n">
        <v>18</v>
      </c>
      <c r="G21" t="n">
        <v>259.78</v>
      </c>
      <c r="H21" t="n">
        <v>4676.06</v>
      </c>
      <c r="I21" t="n">
        <v>2574.84</v>
      </c>
      <c r="J21" t="n">
        <v>2101.22</v>
      </c>
    </row>
    <row r="22">
      <c r="A22" s="2" t="n">
        <v>45482</v>
      </c>
      <c r="B22" t="inlineStr">
        <is>
          <t>Laptop Pro</t>
        </is>
      </c>
      <c r="C22" t="inlineStr">
        <is>
          <t>Peripherals</t>
        </is>
      </c>
      <c r="D22" t="inlineStr">
        <is>
          <t>Central</t>
        </is>
      </c>
      <c r="E22" t="inlineStr">
        <is>
          <t>Sarah Lee</t>
        </is>
      </c>
      <c r="F22" t="n">
        <v>21</v>
      </c>
      <c r="G22" t="n">
        <v>1270.61</v>
      </c>
      <c r="H22" t="n">
        <v>26682.75</v>
      </c>
      <c r="I22" t="n">
        <v>15171.76</v>
      </c>
      <c r="J22" t="n">
        <v>11510.99</v>
      </c>
    </row>
    <row r="23">
      <c r="A23" s="2" t="n">
        <v>45484</v>
      </c>
      <c r="B23" t="inlineStr">
        <is>
          <t>Noise Headphones</t>
        </is>
      </c>
      <c r="C23" t="inlineStr">
        <is>
          <t>Peripherals</t>
        </is>
      </c>
      <c r="D23" t="inlineStr">
        <is>
          <t>Central</t>
        </is>
      </c>
      <c r="E23" t="inlineStr">
        <is>
          <t>James Wilson</t>
        </is>
      </c>
      <c r="F23" t="n">
        <v>21</v>
      </c>
      <c r="G23" t="n">
        <v>269.69</v>
      </c>
      <c r="H23" t="n">
        <v>5663.59</v>
      </c>
      <c r="I23" t="n">
        <v>4008.23</v>
      </c>
      <c r="J23" t="n">
        <v>1655.36</v>
      </c>
    </row>
    <row r="24">
      <c r="A24" s="2" t="n">
        <v>45484</v>
      </c>
      <c r="B24" t="inlineStr">
        <is>
          <t>USB-C Hub</t>
        </is>
      </c>
      <c r="C24" t="inlineStr">
        <is>
          <t>Storage</t>
        </is>
      </c>
      <c r="D24" t="inlineStr">
        <is>
          <t>North</t>
        </is>
      </c>
      <c r="E24" t="inlineStr">
        <is>
          <t>Lisa Park</t>
        </is>
      </c>
      <c r="F24" t="n">
        <v>16</v>
      </c>
      <c r="G24" t="n">
        <v>57.46</v>
      </c>
      <c r="H24" t="n">
        <v>919.4299999999999</v>
      </c>
      <c r="I24" t="n">
        <v>571.09</v>
      </c>
      <c r="J24" t="n">
        <v>348.34</v>
      </c>
    </row>
    <row r="25">
      <c r="A25" s="2" t="n">
        <v>45488</v>
      </c>
      <c r="B25" t="inlineStr">
        <is>
          <t>Portable SSD</t>
        </is>
      </c>
      <c r="C25" t="inlineStr">
        <is>
          <t>Mobile</t>
        </is>
      </c>
      <c r="D25" t="inlineStr">
        <is>
          <t>North</t>
        </is>
      </c>
      <c r="E25" t="inlineStr">
        <is>
          <t>Tom Brown</t>
        </is>
      </c>
      <c r="F25" t="n">
        <v>13</v>
      </c>
      <c r="G25" t="n">
        <v>136.03</v>
      </c>
      <c r="H25" t="n">
        <v>1768.41</v>
      </c>
      <c r="I25" t="n">
        <v>1294.24</v>
      </c>
      <c r="J25" t="n">
        <v>474.17</v>
      </c>
    </row>
    <row r="26">
      <c r="A26" s="2" t="n">
        <v>45489</v>
      </c>
      <c r="B26" t="inlineStr">
        <is>
          <t>Webcam HD</t>
        </is>
      </c>
      <c r="C26" t="inlineStr">
        <is>
          <t>Mobile</t>
        </is>
      </c>
      <c r="D26" t="inlineStr">
        <is>
          <t>East</t>
        </is>
      </c>
      <c r="E26" t="inlineStr">
        <is>
          <t>Mike Chen</t>
        </is>
      </c>
      <c r="F26" t="n">
        <v>18</v>
      </c>
      <c r="G26" t="n">
        <v>120.46</v>
      </c>
      <c r="H26" t="n">
        <v>2168.24</v>
      </c>
      <c r="I26" t="n">
        <v>1400.33</v>
      </c>
      <c r="J26" t="n">
        <v>767.91</v>
      </c>
    </row>
    <row r="27">
      <c r="A27" s="2" t="n">
        <v>45490</v>
      </c>
      <c r="B27" t="inlineStr">
        <is>
          <t>Noise Headphones</t>
        </is>
      </c>
      <c r="C27" t="inlineStr">
        <is>
          <t>Electronics</t>
        </is>
      </c>
      <c r="D27" t="inlineStr">
        <is>
          <t>Central</t>
        </is>
      </c>
      <c r="E27" t="inlineStr">
        <is>
          <t>Emma Davis</t>
        </is>
      </c>
      <c r="F27" t="n">
        <v>18</v>
      </c>
      <c r="G27" t="n">
        <v>247.97</v>
      </c>
      <c r="H27" t="n">
        <v>4463.5</v>
      </c>
      <c r="I27" t="n">
        <v>3155.71</v>
      </c>
      <c r="J27" t="n">
        <v>1307.79</v>
      </c>
    </row>
    <row r="28">
      <c r="A28" s="2" t="n">
        <v>45490</v>
      </c>
      <c r="B28" t="inlineStr">
        <is>
          <t>Laptop Pro</t>
        </is>
      </c>
      <c r="C28" t="inlineStr">
        <is>
          <t>Peripherals</t>
        </is>
      </c>
      <c r="D28" t="inlineStr">
        <is>
          <t>West</t>
        </is>
      </c>
      <c r="E28" t="inlineStr">
        <is>
          <t>Sarah Lee</t>
        </is>
      </c>
      <c r="F28" t="n">
        <v>16</v>
      </c>
      <c r="G28" t="n">
        <v>1133.09</v>
      </c>
      <c r="H28" t="n">
        <v>18129.44</v>
      </c>
      <c r="I28" t="n">
        <v>13552.37</v>
      </c>
      <c r="J28" t="n">
        <v>4577.08</v>
      </c>
    </row>
    <row r="29">
      <c r="A29" s="2" t="n">
        <v>45491</v>
      </c>
      <c r="B29" t="inlineStr">
        <is>
          <t>Webcam HD</t>
        </is>
      </c>
      <c r="C29" t="inlineStr">
        <is>
          <t>Electronics</t>
        </is>
      </c>
      <c r="D29" t="inlineStr">
        <is>
          <t>East</t>
        </is>
      </c>
      <c r="E29" t="inlineStr">
        <is>
          <t>Lisa Park</t>
        </is>
      </c>
      <c r="F29" t="n">
        <v>15</v>
      </c>
      <c r="G29" t="n">
        <v>112.35</v>
      </c>
      <c r="H29" t="n">
        <v>1685.32</v>
      </c>
      <c r="I29" t="n">
        <v>1123.45</v>
      </c>
      <c r="J29" t="n">
        <v>561.87</v>
      </c>
    </row>
    <row r="30">
      <c r="A30" s="2" t="n">
        <v>45492</v>
      </c>
      <c r="B30" t="inlineStr">
        <is>
          <t>Monitor 4K</t>
        </is>
      </c>
      <c r="C30" t="inlineStr">
        <is>
          <t>Storage</t>
        </is>
      </c>
      <c r="D30" t="inlineStr">
        <is>
          <t>Central</t>
        </is>
      </c>
      <c r="E30" t="inlineStr">
        <is>
          <t>Anna Kim</t>
        </is>
      </c>
      <c r="F30" t="n">
        <v>22</v>
      </c>
      <c r="G30" t="n">
        <v>377.25</v>
      </c>
      <c r="H30" t="n">
        <v>8299.59</v>
      </c>
      <c r="I30" t="n">
        <v>5658.47</v>
      </c>
      <c r="J30" t="n">
        <v>2641.12</v>
      </c>
    </row>
    <row r="31">
      <c r="A31" s="2" t="n">
        <v>45495</v>
      </c>
      <c r="B31" t="inlineStr">
        <is>
          <t>Tablet Air</t>
        </is>
      </c>
      <c r="C31" t="inlineStr">
        <is>
          <t>Accessories</t>
        </is>
      </c>
      <c r="D31" t="inlineStr">
        <is>
          <t>South</t>
        </is>
      </c>
      <c r="E31" t="inlineStr">
        <is>
          <t>John Smith</t>
        </is>
      </c>
      <c r="F31" t="n">
        <v>20</v>
      </c>
      <c r="G31" t="n">
        <v>613.92</v>
      </c>
      <c r="H31" t="n">
        <v>12278.37</v>
      </c>
      <c r="I31" t="n">
        <v>7214.83</v>
      </c>
      <c r="J31" t="n">
        <v>5063.54</v>
      </c>
    </row>
    <row r="32">
      <c r="A32" s="2" t="n">
        <v>45495</v>
      </c>
      <c r="B32" t="inlineStr">
        <is>
          <t>USB-C Hub</t>
        </is>
      </c>
      <c r="C32" t="inlineStr">
        <is>
          <t>Storage</t>
        </is>
      </c>
      <c r="D32" t="inlineStr">
        <is>
          <t>Central</t>
        </is>
      </c>
      <c r="E32" t="inlineStr">
        <is>
          <t>Anna Kim</t>
        </is>
      </c>
      <c r="F32" t="n">
        <v>31</v>
      </c>
      <c r="G32" t="n">
        <v>55.32</v>
      </c>
      <c r="H32" t="n">
        <v>1714.82</v>
      </c>
      <c r="I32" t="n">
        <v>1131.08</v>
      </c>
      <c r="J32" t="n">
        <v>583.74</v>
      </c>
    </row>
    <row r="33">
      <c r="A33" s="2" t="n">
        <v>45496</v>
      </c>
      <c r="B33" t="inlineStr">
        <is>
          <t>USB-C Hub</t>
        </is>
      </c>
      <c r="C33" t="inlineStr">
        <is>
          <t>Storage</t>
        </is>
      </c>
      <c r="D33" t="inlineStr">
        <is>
          <t>North</t>
        </is>
      </c>
      <c r="E33" t="inlineStr">
        <is>
          <t>Sarah Lee</t>
        </is>
      </c>
      <c r="F33" t="n">
        <v>28</v>
      </c>
      <c r="G33" t="n">
        <v>60.86</v>
      </c>
      <c r="H33" t="n">
        <v>1704.06</v>
      </c>
      <c r="I33" t="n">
        <v>1032.65</v>
      </c>
      <c r="J33" t="n">
        <v>671.41</v>
      </c>
    </row>
    <row r="34">
      <c r="A34" s="2" t="n">
        <v>45496</v>
      </c>
      <c r="B34" t="inlineStr">
        <is>
          <t>Gaming Mouse</t>
        </is>
      </c>
      <c r="C34" t="inlineStr">
        <is>
          <t>Storage</t>
        </is>
      </c>
      <c r="D34" t="inlineStr">
        <is>
          <t>East</t>
        </is>
      </c>
      <c r="E34" t="inlineStr">
        <is>
          <t>John Smith</t>
        </is>
      </c>
      <c r="F34" t="n">
        <v>20</v>
      </c>
      <c r="G34" t="n">
        <v>84.72</v>
      </c>
      <c r="H34" t="n">
        <v>1694.46</v>
      </c>
      <c r="I34" t="n">
        <v>1023.74</v>
      </c>
      <c r="J34" t="n">
        <v>670.72</v>
      </c>
    </row>
    <row r="35">
      <c r="A35" s="2" t="n">
        <v>45500</v>
      </c>
      <c r="B35" t="inlineStr">
        <is>
          <t>Laptop Pro</t>
        </is>
      </c>
      <c r="C35" t="inlineStr">
        <is>
          <t>Accessories</t>
        </is>
      </c>
      <c r="D35" t="inlineStr">
        <is>
          <t>East</t>
        </is>
      </c>
      <c r="E35" t="inlineStr">
        <is>
          <t>Emma Davis</t>
        </is>
      </c>
      <c r="F35" t="n">
        <v>22</v>
      </c>
      <c r="G35" t="n">
        <v>1099.77</v>
      </c>
      <c r="H35" t="n">
        <v>24194.97</v>
      </c>
      <c r="I35" t="n">
        <v>16600.17</v>
      </c>
      <c r="J35" t="n">
        <v>7594.81</v>
      </c>
    </row>
    <row r="36">
      <c r="A36" s="2" t="n">
        <v>45500</v>
      </c>
      <c r="B36" t="inlineStr">
        <is>
          <t>Portable SSD</t>
        </is>
      </c>
      <c r="C36" t="inlineStr">
        <is>
          <t>Accessories</t>
        </is>
      </c>
      <c r="D36" t="inlineStr">
        <is>
          <t>Central</t>
        </is>
      </c>
      <c r="E36" t="inlineStr">
        <is>
          <t>Tom Brown</t>
        </is>
      </c>
      <c r="F36" t="n">
        <v>16</v>
      </c>
      <c r="G36" t="n">
        <v>148.49</v>
      </c>
      <c r="H36" t="n">
        <v>2375.88</v>
      </c>
      <c r="I36" t="n">
        <v>1675.8</v>
      </c>
      <c r="J36" t="n">
        <v>700.0700000000001</v>
      </c>
    </row>
    <row r="37">
      <c r="A37" s="2" t="n">
        <v>45505</v>
      </c>
      <c r="B37" t="inlineStr">
        <is>
          <t>Wireless Keyboard</t>
        </is>
      </c>
      <c r="C37" t="inlineStr">
        <is>
          <t>Storage</t>
        </is>
      </c>
      <c r="D37" t="inlineStr">
        <is>
          <t>West</t>
        </is>
      </c>
      <c r="E37" t="inlineStr">
        <is>
          <t>Anna Kim</t>
        </is>
      </c>
      <c r="F37" t="n">
        <v>16</v>
      </c>
      <c r="G37" t="n">
        <v>90.52</v>
      </c>
      <c r="H37" t="n">
        <v>1448.26</v>
      </c>
      <c r="I37" t="n">
        <v>835.6900000000001</v>
      </c>
      <c r="J37" t="n">
        <v>612.5700000000001</v>
      </c>
    </row>
    <row r="38">
      <c r="A38" s="2" t="n">
        <v>45507</v>
      </c>
      <c r="B38" t="inlineStr">
        <is>
          <t>Tablet Air</t>
        </is>
      </c>
      <c r="C38" t="inlineStr">
        <is>
          <t>Mobile</t>
        </is>
      </c>
      <c r="D38" t="inlineStr">
        <is>
          <t>South</t>
        </is>
      </c>
      <c r="E38" t="inlineStr">
        <is>
          <t>Mike Chen</t>
        </is>
      </c>
      <c r="F38" t="n">
        <v>20</v>
      </c>
      <c r="G38" t="n">
        <v>630.17</v>
      </c>
      <c r="H38" t="n">
        <v>12603.3</v>
      </c>
      <c r="I38" t="n">
        <v>8587.780000000001</v>
      </c>
      <c r="J38" t="n">
        <v>4015.52</v>
      </c>
    </row>
    <row r="39">
      <c r="A39" s="2" t="n">
        <v>45507</v>
      </c>
      <c r="B39" t="inlineStr">
        <is>
          <t>Portable SSD</t>
        </is>
      </c>
      <c r="C39" t="inlineStr">
        <is>
          <t>Electronics</t>
        </is>
      </c>
      <c r="D39" t="inlineStr">
        <is>
          <t>East</t>
        </is>
      </c>
      <c r="E39" t="inlineStr">
        <is>
          <t>Sarah Lee</t>
        </is>
      </c>
      <c r="F39" t="n">
        <v>19</v>
      </c>
      <c r="G39" t="n">
        <v>148.57</v>
      </c>
      <c r="H39" t="n">
        <v>2822.82</v>
      </c>
      <c r="I39" t="n">
        <v>1915.89</v>
      </c>
      <c r="J39" t="n">
        <v>906.9299999999999</v>
      </c>
    </row>
    <row r="40">
      <c r="A40" s="2" t="n">
        <v>45507</v>
      </c>
      <c r="B40" t="inlineStr">
        <is>
          <t>Wireless Keyboard</t>
        </is>
      </c>
      <c r="C40" t="inlineStr">
        <is>
          <t>Mobile</t>
        </is>
      </c>
      <c r="D40" t="inlineStr">
        <is>
          <t>South</t>
        </is>
      </c>
      <c r="E40" t="inlineStr">
        <is>
          <t>Lisa Park</t>
        </is>
      </c>
      <c r="F40" t="n">
        <v>17</v>
      </c>
      <c r="G40" t="n">
        <v>98.79000000000001</v>
      </c>
      <c r="H40" t="n">
        <v>1679.4</v>
      </c>
      <c r="I40" t="n">
        <v>1129.54</v>
      </c>
      <c r="J40" t="n">
        <v>549.86</v>
      </c>
    </row>
    <row r="41">
      <c r="A41" s="2" t="n">
        <v>45508</v>
      </c>
      <c r="B41" t="inlineStr">
        <is>
          <t>Gaming Mouse</t>
        </is>
      </c>
      <c r="C41" t="inlineStr">
        <is>
          <t>Storage</t>
        </is>
      </c>
      <c r="D41" t="inlineStr">
        <is>
          <t>Central</t>
        </is>
      </c>
      <c r="E41" t="inlineStr">
        <is>
          <t>John Smith</t>
        </is>
      </c>
      <c r="F41" t="n">
        <v>17</v>
      </c>
      <c r="G41" t="n">
        <v>73.70999999999999</v>
      </c>
      <c r="H41" t="n">
        <v>1252.99</v>
      </c>
      <c r="I41" t="n">
        <v>854</v>
      </c>
      <c r="J41" t="n">
        <v>398.99</v>
      </c>
    </row>
    <row r="42">
      <c r="A42" s="2" t="n">
        <v>45509</v>
      </c>
      <c r="B42" t="inlineStr">
        <is>
          <t>Noise Headphones</t>
        </is>
      </c>
      <c r="C42" t="inlineStr">
        <is>
          <t>Storage</t>
        </is>
      </c>
      <c r="D42" t="inlineStr">
        <is>
          <t>East</t>
        </is>
      </c>
      <c r="E42" t="inlineStr">
        <is>
          <t>Anna Kim</t>
        </is>
      </c>
      <c r="F42" t="n">
        <v>19</v>
      </c>
      <c r="G42" t="n">
        <v>227.27</v>
      </c>
      <c r="H42" t="n">
        <v>4318.17</v>
      </c>
      <c r="I42" t="n">
        <v>2617.65</v>
      </c>
      <c r="J42" t="n">
        <v>1700.53</v>
      </c>
    </row>
    <row r="43">
      <c r="A43" s="2" t="n">
        <v>45511</v>
      </c>
      <c r="B43" t="inlineStr">
        <is>
          <t>Monitor 4K</t>
        </is>
      </c>
      <c r="C43" t="inlineStr">
        <is>
          <t>Mobile</t>
        </is>
      </c>
      <c r="D43" t="inlineStr">
        <is>
          <t>East</t>
        </is>
      </c>
      <c r="E43" t="inlineStr">
        <is>
          <t>Emma Davis</t>
        </is>
      </c>
      <c r="F43" t="n">
        <v>16</v>
      </c>
      <c r="G43" t="n">
        <v>429.05</v>
      </c>
      <c r="H43" t="n">
        <v>6864.77</v>
      </c>
      <c r="I43" t="n">
        <v>4631.38</v>
      </c>
      <c r="J43" t="n">
        <v>2233.39</v>
      </c>
    </row>
    <row r="44">
      <c r="A44" s="2" t="n">
        <v>45513</v>
      </c>
      <c r="B44" t="inlineStr">
        <is>
          <t>Tablet Air</t>
        </is>
      </c>
      <c r="C44" t="inlineStr">
        <is>
          <t>Mobile</t>
        </is>
      </c>
      <c r="D44" t="inlineStr">
        <is>
          <t>Central</t>
        </is>
      </c>
      <c r="E44" t="inlineStr">
        <is>
          <t>John Smith</t>
        </is>
      </c>
      <c r="F44" t="n">
        <v>19</v>
      </c>
      <c r="G44" t="n">
        <v>578.95</v>
      </c>
      <c r="H44" t="n">
        <v>11000.06</v>
      </c>
      <c r="I44" t="n">
        <v>6856.25</v>
      </c>
      <c r="J44" t="n">
        <v>4143.81</v>
      </c>
    </row>
    <row r="45">
      <c r="A45" s="2" t="n">
        <v>45515</v>
      </c>
      <c r="B45" t="inlineStr">
        <is>
          <t>USB-C Hub</t>
        </is>
      </c>
      <c r="C45" t="inlineStr">
        <is>
          <t>Storage</t>
        </is>
      </c>
      <c r="D45" t="inlineStr">
        <is>
          <t>East</t>
        </is>
      </c>
      <c r="E45" t="inlineStr">
        <is>
          <t>James Wilson</t>
        </is>
      </c>
      <c r="F45" t="n">
        <v>18</v>
      </c>
      <c r="G45" t="n">
        <v>64.98</v>
      </c>
      <c r="H45" t="n">
        <v>1169.61</v>
      </c>
      <c r="I45" t="n">
        <v>728.0599999999999</v>
      </c>
      <c r="J45" t="n">
        <v>441.55</v>
      </c>
    </row>
    <row r="46">
      <c r="A46" s="2" t="n">
        <v>45517</v>
      </c>
      <c r="B46" t="inlineStr">
        <is>
          <t>Noise Headphones</t>
        </is>
      </c>
      <c r="C46" t="inlineStr">
        <is>
          <t>Electronics</t>
        </is>
      </c>
      <c r="D46" t="inlineStr">
        <is>
          <t>West</t>
        </is>
      </c>
      <c r="E46" t="inlineStr">
        <is>
          <t>John Smith</t>
        </is>
      </c>
      <c r="F46" t="n">
        <v>25</v>
      </c>
      <c r="G46" t="n">
        <v>235.66</v>
      </c>
      <c r="H46" t="n">
        <v>5891.38</v>
      </c>
      <c r="I46" t="n">
        <v>3276.94</v>
      </c>
      <c r="J46" t="n">
        <v>2614.44</v>
      </c>
    </row>
    <row r="47">
      <c r="A47" s="2" t="n">
        <v>45518</v>
      </c>
      <c r="B47" t="inlineStr">
        <is>
          <t>Portable SSD</t>
        </is>
      </c>
      <c r="C47" t="inlineStr">
        <is>
          <t>Storage</t>
        </is>
      </c>
      <c r="D47" t="inlineStr">
        <is>
          <t>Central</t>
        </is>
      </c>
      <c r="E47" t="inlineStr">
        <is>
          <t>Emma Davis</t>
        </is>
      </c>
      <c r="F47" t="n">
        <v>13</v>
      </c>
      <c r="G47" t="n">
        <v>153.55</v>
      </c>
      <c r="H47" t="n">
        <v>1996.11</v>
      </c>
      <c r="I47" t="n">
        <v>1138.23</v>
      </c>
      <c r="J47" t="n">
        <v>857.88</v>
      </c>
    </row>
    <row r="48">
      <c r="A48" s="2" t="n">
        <v>45518</v>
      </c>
      <c r="B48" t="inlineStr">
        <is>
          <t>Laptop Pro</t>
        </is>
      </c>
      <c r="C48" t="inlineStr">
        <is>
          <t>Storage</t>
        </is>
      </c>
      <c r="D48" t="inlineStr">
        <is>
          <t>Central</t>
        </is>
      </c>
      <c r="E48" t="inlineStr">
        <is>
          <t>Sarah Lee</t>
        </is>
      </c>
      <c r="F48" t="n">
        <v>19</v>
      </c>
      <c r="G48" t="n">
        <v>1271.59</v>
      </c>
      <c r="H48" t="n">
        <v>24160.23</v>
      </c>
      <c r="I48" t="n">
        <v>16428.78</v>
      </c>
      <c r="J48" t="n">
        <v>7731.45</v>
      </c>
    </row>
    <row r="49">
      <c r="A49" s="2" t="n">
        <v>45519</v>
      </c>
      <c r="B49" t="inlineStr">
        <is>
          <t>Tablet Air</t>
        </is>
      </c>
      <c r="C49" t="inlineStr">
        <is>
          <t>Accessories</t>
        </is>
      </c>
      <c r="D49" t="inlineStr">
        <is>
          <t>Central</t>
        </is>
      </c>
      <c r="E49" t="inlineStr">
        <is>
          <t>James Wilson</t>
        </is>
      </c>
      <c r="F49" t="n">
        <v>21</v>
      </c>
      <c r="G49" t="n">
        <v>646.8</v>
      </c>
      <c r="H49" t="n">
        <v>13582.81</v>
      </c>
      <c r="I49" t="n">
        <v>8388.73</v>
      </c>
      <c r="J49" t="n">
        <v>5194.08</v>
      </c>
    </row>
    <row r="50">
      <c r="A50" s="2" t="n">
        <v>45519</v>
      </c>
      <c r="B50" t="inlineStr">
        <is>
          <t>Portable SSD</t>
        </is>
      </c>
      <c r="C50" t="inlineStr">
        <is>
          <t>Storage</t>
        </is>
      </c>
      <c r="D50" t="inlineStr">
        <is>
          <t>Central</t>
        </is>
      </c>
      <c r="E50" t="inlineStr">
        <is>
          <t>Lisa Park</t>
        </is>
      </c>
      <c r="F50" t="n">
        <v>19</v>
      </c>
      <c r="G50" t="n">
        <v>150.63</v>
      </c>
      <c r="H50" t="n">
        <v>2861.95</v>
      </c>
      <c r="I50" t="n">
        <v>1931</v>
      </c>
      <c r="J50" t="n">
        <v>930.9400000000001</v>
      </c>
    </row>
    <row r="51">
      <c r="A51" s="2" t="n">
        <v>45521</v>
      </c>
      <c r="B51" t="inlineStr">
        <is>
          <t>Wireless Keyboard</t>
        </is>
      </c>
      <c r="C51" t="inlineStr">
        <is>
          <t>Accessories</t>
        </is>
      </c>
      <c r="D51" t="inlineStr">
        <is>
          <t>West</t>
        </is>
      </c>
      <c r="E51" t="inlineStr">
        <is>
          <t>Lisa Park</t>
        </is>
      </c>
      <c r="F51" t="n">
        <v>22</v>
      </c>
      <c r="G51" t="n">
        <v>103.77</v>
      </c>
      <c r="H51" t="n">
        <v>2282.9</v>
      </c>
      <c r="I51" t="n">
        <v>1454.13</v>
      </c>
      <c r="J51" t="n">
        <v>828.77</v>
      </c>
    </row>
    <row r="52">
      <c r="A52" s="2" t="n">
        <v>45521</v>
      </c>
      <c r="B52" t="inlineStr">
        <is>
          <t>Wireless Keyboard</t>
        </is>
      </c>
      <c r="C52" t="inlineStr">
        <is>
          <t>Storage</t>
        </is>
      </c>
      <c r="D52" t="inlineStr">
        <is>
          <t>West</t>
        </is>
      </c>
      <c r="E52" t="inlineStr">
        <is>
          <t>Anna Kim</t>
        </is>
      </c>
      <c r="F52" t="n">
        <v>18</v>
      </c>
      <c r="G52" t="n">
        <v>94.84</v>
      </c>
      <c r="H52" t="n">
        <v>1707.14</v>
      </c>
      <c r="I52" t="n">
        <v>1275.8</v>
      </c>
      <c r="J52" t="n">
        <v>431.34</v>
      </c>
    </row>
    <row r="53">
      <c r="A53" s="2" t="n">
        <v>45521</v>
      </c>
      <c r="B53" t="inlineStr">
        <is>
          <t>Smartphone X</t>
        </is>
      </c>
      <c r="C53" t="inlineStr">
        <is>
          <t>Accessories</t>
        </is>
      </c>
      <c r="D53" t="inlineStr">
        <is>
          <t>North</t>
        </is>
      </c>
      <c r="E53" t="inlineStr">
        <is>
          <t>James Wilson</t>
        </is>
      </c>
      <c r="F53" t="n">
        <v>17</v>
      </c>
      <c r="G53" t="n">
        <v>965.23</v>
      </c>
      <c r="H53" t="n">
        <v>16408.83</v>
      </c>
      <c r="I53" t="n">
        <v>12140.96</v>
      </c>
      <c r="J53" t="n">
        <v>4267.87</v>
      </c>
    </row>
    <row r="54">
      <c r="A54" s="2" t="n">
        <v>45522</v>
      </c>
      <c r="B54" t="inlineStr">
        <is>
          <t>Smartphone X</t>
        </is>
      </c>
      <c r="C54" t="inlineStr">
        <is>
          <t>Accessories</t>
        </is>
      </c>
      <c r="D54" t="inlineStr">
        <is>
          <t>Central</t>
        </is>
      </c>
      <c r="E54" t="inlineStr">
        <is>
          <t>Lisa Park</t>
        </is>
      </c>
      <c r="F54" t="n">
        <v>20</v>
      </c>
      <c r="G54" t="n">
        <v>851.75</v>
      </c>
      <c r="H54" t="n">
        <v>17035.01</v>
      </c>
      <c r="I54" t="n">
        <v>10701.07</v>
      </c>
      <c r="J54" t="n">
        <v>6333.94</v>
      </c>
    </row>
    <row r="55">
      <c r="A55" s="2" t="n">
        <v>45524</v>
      </c>
      <c r="B55" t="inlineStr">
        <is>
          <t>Noise Headphones</t>
        </is>
      </c>
      <c r="C55" t="inlineStr">
        <is>
          <t>Mobile</t>
        </is>
      </c>
      <c r="D55" t="inlineStr">
        <is>
          <t>South</t>
        </is>
      </c>
      <c r="E55" t="inlineStr">
        <is>
          <t>James Wilson</t>
        </is>
      </c>
      <c r="F55" t="n">
        <v>14</v>
      </c>
      <c r="G55" t="n">
        <v>260.45</v>
      </c>
      <c r="H55" t="n">
        <v>3646.33</v>
      </c>
      <c r="I55" t="n">
        <v>2083.42</v>
      </c>
      <c r="J55" t="n">
        <v>1562.91</v>
      </c>
    </row>
    <row r="56">
      <c r="A56" s="2" t="n">
        <v>45524</v>
      </c>
      <c r="B56" t="inlineStr">
        <is>
          <t>Tablet Air</t>
        </is>
      </c>
      <c r="C56" t="inlineStr">
        <is>
          <t>Peripherals</t>
        </is>
      </c>
      <c r="D56" t="inlineStr">
        <is>
          <t>Central</t>
        </is>
      </c>
      <c r="E56" t="inlineStr">
        <is>
          <t>Lisa Park</t>
        </is>
      </c>
      <c r="F56" t="n">
        <v>15</v>
      </c>
      <c r="G56" t="n">
        <v>577.41</v>
      </c>
      <c r="H56" t="n">
        <v>8661.08</v>
      </c>
      <c r="I56" t="n">
        <v>5664.46</v>
      </c>
      <c r="J56" t="n">
        <v>2996.62</v>
      </c>
    </row>
    <row r="57">
      <c r="A57" s="2" t="n">
        <v>45525</v>
      </c>
      <c r="B57" t="inlineStr">
        <is>
          <t>Monitor 4K</t>
        </is>
      </c>
      <c r="C57" t="inlineStr">
        <is>
          <t>Electronics</t>
        </is>
      </c>
      <c r="D57" t="inlineStr">
        <is>
          <t>West</t>
        </is>
      </c>
      <c r="E57" t="inlineStr">
        <is>
          <t>James Wilson</t>
        </is>
      </c>
      <c r="F57" t="n">
        <v>27</v>
      </c>
      <c r="G57" t="n">
        <v>407.83</v>
      </c>
      <c r="H57" t="n">
        <v>11011.46</v>
      </c>
      <c r="I57" t="n">
        <v>8086.54</v>
      </c>
      <c r="J57" t="n">
        <v>2924.92</v>
      </c>
    </row>
    <row r="58">
      <c r="A58" s="2" t="n">
        <v>45526</v>
      </c>
      <c r="B58" t="inlineStr">
        <is>
          <t>Webcam HD</t>
        </is>
      </c>
      <c r="C58" t="inlineStr">
        <is>
          <t>Mobile</t>
        </is>
      </c>
      <c r="D58" t="inlineStr">
        <is>
          <t>South</t>
        </is>
      </c>
      <c r="E58" t="inlineStr">
        <is>
          <t>Sarah Lee</t>
        </is>
      </c>
      <c r="F58" t="n">
        <v>15</v>
      </c>
      <c r="G58" t="n">
        <v>113.29</v>
      </c>
      <c r="H58" t="n">
        <v>1699.38</v>
      </c>
      <c r="I58" t="n">
        <v>998.02</v>
      </c>
      <c r="J58" t="n">
        <v>701.35</v>
      </c>
    </row>
    <row r="59">
      <c r="A59" s="2" t="n">
        <v>45527</v>
      </c>
      <c r="B59" t="inlineStr">
        <is>
          <t>USB-C Hub</t>
        </is>
      </c>
      <c r="C59" t="inlineStr">
        <is>
          <t>Storage</t>
        </is>
      </c>
      <c r="D59" t="inlineStr">
        <is>
          <t>West</t>
        </is>
      </c>
      <c r="E59" t="inlineStr">
        <is>
          <t>Anna Kim</t>
        </is>
      </c>
      <c r="F59" t="n">
        <v>11</v>
      </c>
      <c r="G59" t="n">
        <v>58.15</v>
      </c>
      <c r="H59" t="n">
        <v>639.66</v>
      </c>
      <c r="I59" t="n">
        <v>431.25</v>
      </c>
      <c r="J59" t="n">
        <v>208.41</v>
      </c>
    </row>
    <row r="60">
      <c r="A60" s="2" t="n">
        <v>45527</v>
      </c>
      <c r="B60" t="inlineStr">
        <is>
          <t>Noise Headphones</t>
        </is>
      </c>
      <c r="C60" t="inlineStr">
        <is>
          <t>Mobile</t>
        </is>
      </c>
      <c r="D60" t="inlineStr">
        <is>
          <t>Central</t>
        </is>
      </c>
      <c r="E60" t="inlineStr">
        <is>
          <t>Lisa Park</t>
        </is>
      </c>
      <c r="F60" t="n">
        <v>20</v>
      </c>
      <c r="G60" t="n">
        <v>255.75</v>
      </c>
      <c r="H60" t="n">
        <v>5115.01</v>
      </c>
      <c r="I60" t="n">
        <v>3826.08</v>
      </c>
      <c r="J60" t="n">
        <v>1288.93</v>
      </c>
    </row>
    <row r="61">
      <c r="A61" s="2" t="n">
        <v>45527</v>
      </c>
      <c r="B61" t="inlineStr">
        <is>
          <t>Webcam HD</t>
        </is>
      </c>
      <c r="C61" t="inlineStr">
        <is>
          <t>Accessories</t>
        </is>
      </c>
      <c r="D61" t="inlineStr">
        <is>
          <t>North</t>
        </is>
      </c>
      <c r="E61" t="inlineStr">
        <is>
          <t>Lisa Park</t>
        </is>
      </c>
      <c r="F61" t="n">
        <v>19</v>
      </c>
      <c r="G61" t="n">
        <v>111.35</v>
      </c>
      <c r="H61" t="n">
        <v>2115.68</v>
      </c>
      <c r="I61" t="n">
        <v>1176.31</v>
      </c>
      <c r="J61" t="n">
        <v>939.37</v>
      </c>
    </row>
    <row r="62">
      <c r="A62" s="2" t="n">
        <v>45530</v>
      </c>
      <c r="B62" t="inlineStr">
        <is>
          <t>Laptop Pro</t>
        </is>
      </c>
      <c r="C62" t="inlineStr">
        <is>
          <t>Accessories</t>
        </is>
      </c>
      <c r="D62" t="inlineStr">
        <is>
          <t>South</t>
        </is>
      </c>
      <c r="E62" t="inlineStr">
        <is>
          <t>John Smith</t>
        </is>
      </c>
      <c r="F62" t="n">
        <v>21</v>
      </c>
      <c r="G62" t="n">
        <v>1152.23</v>
      </c>
      <c r="H62" t="n">
        <v>24196.86</v>
      </c>
      <c r="I62" t="n">
        <v>16735.38</v>
      </c>
      <c r="J62" t="n">
        <v>7461.48</v>
      </c>
    </row>
    <row r="63">
      <c r="A63" s="2" t="n">
        <v>45530</v>
      </c>
      <c r="B63" t="inlineStr">
        <is>
          <t>USB-C Hub</t>
        </is>
      </c>
      <c r="C63" t="inlineStr">
        <is>
          <t>Mobile</t>
        </is>
      </c>
      <c r="D63" t="inlineStr">
        <is>
          <t>West</t>
        </is>
      </c>
      <c r="E63" t="inlineStr">
        <is>
          <t>Lisa Park</t>
        </is>
      </c>
      <c r="F63" t="n">
        <v>25</v>
      </c>
      <c r="G63" t="n">
        <v>59.26</v>
      </c>
      <c r="H63" t="n">
        <v>1481.58</v>
      </c>
      <c r="I63" t="n">
        <v>1029.78</v>
      </c>
      <c r="J63" t="n">
        <v>451.81</v>
      </c>
    </row>
    <row r="64">
      <c r="A64" s="2" t="n">
        <v>45531</v>
      </c>
      <c r="B64" t="inlineStr">
        <is>
          <t>Portable SSD</t>
        </is>
      </c>
      <c r="C64" t="inlineStr">
        <is>
          <t>Electronics</t>
        </is>
      </c>
      <c r="D64" t="inlineStr">
        <is>
          <t>Central</t>
        </is>
      </c>
      <c r="E64" t="inlineStr">
        <is>
          <t>Mike Chen</t>
        </is>
      </c>
      <c r="F64" t="n">
        <v>16</v>
      </c>
      <c r="G64" t="n">
        <v>153.29</v>
      </c>
      <c r="H64" t="n">
        <v>2452.59</v>
      </c>
      <c r="I64" t="n">
        <v>1595.5</v>
      </c>
      <c r="J64" t="n">
        <v>857.09</v>
      </c>
    </row>
    <row r="65">
      <c r="A65" s="2" t="n">
        <v>45531</v>
      </c>
      <c r="B65" t="inlineStr">
        <is>
          <t>Gaming Mouse</t>
        </is>
      </c>
      <c r="C65" t="inlineStr">
        <is>
          <t>Storage</t>
        </is>
      </c>
      <c r="D65" t="inlineStr">
        <is>
          <t>North</t>
        </is>
      </c>
      <c r="E65" t="inlineStr">
        <is>
          <t>Lisa Park</t>
        </is>
      </c>
      <c r="F65" t="n">
        <v>11</v>
      </c>
      <c r="G65" t="n">
        <v>82.93000000000001</v>
      </c>
      <c r="H65" t="n">
        <v>912.25</v>
      </c>
      <c r="I65" t="n">
        <v>515.63</v>
      </c>
      <c r="J65" t="n">
        <v>396.62</v>
      </c>
    </row>
    <row r="66">
      <c r="A66" s="2" t="n">
        <v>45532</v>
      </c>
      <c r="B66" t="inlineStr">
        <is>
          <t>Noise Headphones</t>
        </is>
      </c>
      <c r="C66" t="inlineStr">
        <is>
          <t>Electronics</t>
        </is>
      </c>
      <c r="D66" t="inlineStr">
        <is>
          <t>South</t>
        </is>
      </c>
      <c r="E66" t="inlineStr">
        <is>
          <t>Mike Chen</t>
        </is>
      </c>
      <c r="F66" t="n">
        <v>18</v>
      </c>
      <c r="G66" t="n">
        <v>241.41</v>
      </c>
      <c r="H66" t="n">
        <v>4345.37</v>
      </c>
      <c r="I66" t="n">
        <v>2767.15</v>
      </c>
      <c r="J66" t="n">
        <v>1578.22</v>
      </c>
    </row>
    <row r="67">
      <c r="A67" s="2" t="n">
        <v>45536</v>
      </c>
      <c r="B67" t="inlineStr">
        <is>
          <t>Noise Headphones</t>
        </is>
      </c>
      <c r="C67" t="inlineStr">
        <is>
          <t>Electronics</t>
        </is>
      </c>
      <c r="D67" t="inlineStr">
        <is>
          <t>East</t>
        </is>
      </c>
      <c r="E67" t="inlineStr">
        <is>
          <t>Sarah Lee</t>
        </is>
      </c>
      <c r="F67" t="n">
        <v>15</v>
      </c>
      <c r="G67" t="n">
        <v>264.97</v>
      </c>
      <c r="H67" t="n">
        <v>3974.56</v>
      </c>
      <c r="I67" t="n">
        <v>2738.23</v>
      </c>
      <c r="J67" t="n">
        <v>1236.33</v>
      </c>
    </row>
    <row r="68">
      <c r="A68" s="2" t="n">
        <v>45539</v>
      </c>
      <c r="B68" t="inlineStr">
        <is>
          <t>Monitor 4K</t>
        </is>
      </c>
      <c r="C68" t="inlineStr">
        <is>
          <t>Peripherals</t>
        </is>
      </c>
      <c r="D68" t="inlineStr">
        <is>
          <t>South</t>
        </is>
      </c>
      <c r="E68" t="inlineStr">
        <is>
          <t>Emma Davis</t>
        </is>
      </c>
      <c r="F68" t="n">
        <v>12</v>
      </c>
      <c r="G68" t="n">
        <v>364.6</v>
      </c>
      <c r="H68" t="n">
        <v>4375.26</v>
      </c>
      <c r="I68" t="n">
        <v>2887.26</v>
      </c>
      <c r="J68" t="n">
        <v>1488</v>
      </c>
    </row>
    <row r="69">
      <c r="A69" s="2" t="n">
        <v>45539</v>
      </c>
      <c r="B69" t="inlineStr">
        <is>
          <t>Monitor 4K</t>
        </is>
      </c>
      <c r="C69" t="inlineStr">
        <is>
          <t>Accessories</t>
        </is>
      </c>
      <c r="D69" t="inlineStr">
        <is>
          <t>West</t>
        </is>
      </c>
      <c r="E69" t="inlineStr">
        <is>
          <t>Anna Kim</t>
        </is>
      </c>
      <c r="F69" t="n">
        <v>21</v>
      </c>
      <c r="G69" t="n">
        <v>386.03</v>
      </c>
      <c r="H69" t="n">
        <v>8106.67</v>
      </c>
      <c r="I69" t="n">
        <v>5668.98</v>
      </c>
      <c r="J69" t="n">
        <v>2437.69</v>
      </c>
    </row>
    <row r="70">
      <c r="A70" s="2" t="n">
        <v>45539</v>
      </c>
      <c r="B70" t="inlineStr">
        <is>
          <t>Monitor 4K</t>
        </is>
      </c>
      <c r="C70" t="inlineStr">
        <is>
          <t>Electronics</t>
        </is>
      </c>
      <c r="D70" t="inlineStr">
        <is>
          <t>West</t>
        </is>
      </c>
      <c r="E70" t="inlineStr">
        <is>
          <t>Sarah Lee</t>
        </is>
      </c>
      <c r="F70" t="n">
        <v>9</v>
      </c>
      <c r="G70" t="n">
        <v>424.23</v>
      </c>
      <c r="H70" t="n">
        <v>3818.05</v>
      </c>
      <c r="I70" t="n">
        <v>2103.47</v>
      </c>
      <c r="J70" t="n">
        <v>1714.59</v>
      </c>
    </row>
    <row r="71">
      <c r="A71" s="2" t="n">
        <v>45540</v>
      </c>
      <c r="B71" t="inlineStr">
        <is>
          <t>Gaming Mouse</t>
        </is>
      </c>
      <c r="C71" t="inlineStr">
        <is>
          <t>Storage</t>
        </is>
      </c>
      <c r="D71" t="inlineStr">
        <is>
          <t>East</t>
        </is>
      </c>
      <c r="E71" t="inlineStr">
        <is>
          <t>Tom Brown</t>
        </is>
      </c>
      <c r="F71" t="n">
        <v>23</v>
      </c>
      <c r="G71" t="n">
        <v>80.47</v>
      </c>
      <c r="H71" t="n">
        <v>1850.91</v>
      </c>
      <c r="I71" t="n">
        <v>1107.53</v>
      </c>
      <c r="J71" t="n">
        <v>743.38</v>
      </c>
    </row>
    <row r="72">
      <c r="A72" s="2" t="n">
        <v>45541</v>
      </c>
      <c r="B72" t="inlineStr">
        <is>
          <t>Webcam HD</t>
        </is>
      </c>
      <c r="C72" t="inlineStr">
        <is>
          <t>Storage</t>
        </is>
      </c>
      <c r="D72" t="inlineStr">
        <is>
          <t>East</t>
        </is>
      </c>
      <c r="E72" t="inlineStr">
        <is>
          <t>James Wilson</t>
        </is>
      </c>
      <c r="F72" t="n">
        <v>21</v>
      </c>
      <c r="G72" t="n">
        <v>110.09</v>
      </c>
      <c r="H72" t="n">
        <v>2311.84</v>
      </c>
      <c r="I72" t="n">
        <v>1460.37</v>
      </c>
      <c r="J72" t="n">
        <v>851.47</v>
      </c>
    </row>
    <row r="73">
      <c r="A73" s="2" t="n">
        <v>45543</v>
      </c>
      <c r="B73" t="inlineStr">
        <is>
          <t>Monitor 4K</t>
        </is>
      </c>
      <c r="C73" t="inlineStr">
        <is>
          <t>Mobile</t>
        </is>
      </c>
      <c r="D73" t="inlineStr">
        <is>
          <t>South</t>
        </is>
      </c>
      <c r="E73" t="inlineStr">
        <is>
          <t>Tom Brown</t>
        </is>
      </c>
      <c r="F73" t="n">
        <v>28</v>
      </c>
      <c r="G73" t="n">
        <v>416.45</v>
      </c>
      <c r="H73" t="n">
        <v>11660.49</v>
      </c>
      <c r="I73" t="n">
        <v>8571.040000000001</v>
      </c>
      <c r="J73" t="n">
        <v>3089.45</v>
      </c>
    </row>
    <row r="74">
      <c r="A74" s="2" t="n">
        <v>45545</v>
      </c>
      <c r="B74" t="inlineStr">
        <is>
          <t>Monitor 4K</t>
        </is>
      </c>
      <c r="C74" t="inlineStr">
        <is>
          <t>Accessories</t>
        </is>
      </c>
      <c r="D74" t="inlineStr">
        <is>
          <t>East</t>
        </is>
      </c>
      <c r="E74" t="inlineStr">
        <is>
          <t>Sarah Lee</t>
        </is>
      </c>
      <c r="F74" t="n">
        <v>22</v>
      </c>
      <c r="G74" t="n">
        <v>397.73</v>
      </c>
      <c r="H74" t="n">
        <v>8749.969999999999</v>
      </c>
      <c r="I74" t="n">
        <v>5533.21</v>
      </c>
      <c r="J74" t="n">
        <v>3216.77</v>
      </c>
    </row>
    <row r="75">
      <c r="A75" s="2" t="n">
        <v>45545</v>
      </c>
      <c r="B75" t="inlineStr">
        <is>
          <t>Webcam HD</t>
        </is>
      </c>
      <c r="C75" t="inlineStr">
        <is>
          <t>Accessories</t>
        </is>
      </c>
      <c r="D75" t="inlineStr">
        <is>
          <t>South</t>
        </is>
      </c>
      <c r="E75" t="inlineStr">
        <is>
          <t>John Smith</t>
        </is>
      </c>
      <c r="F75" t="n">
        <v>16</v>
      </c>
      <c r="G75" t="n">
        <v>112.84</v>
      </c>
      <c r="H75" t="n">
        <v>1805.51</v>
      </c>
      <c r="I75" t="n">
        <v>1236.21</v>
      </c>
      <c r="J75" t="n">
        <v>569.3</v>
      </c>
    </row>
    <row r="76">
      <c r="A76" s="2" t="n">
        <v>45546</v>
      </c>
      <c r="B76" t="inlineStr">
        <is>
          <t>Portable SSD</t>
        </is>
      </c>
      <c r="C76" t="inlineStr">
        <is>
          <t>Accessories</t>
        </is>
      </c>
      <c r="D76" t="inlineStr">
        <is>
          <t>East</t>
        </is>
      </c>
      <c r="E76" t="inlineStr">
        <is>
          <t>John Smith</t>
        </is>
      </c>
      <c r="F76" t="n">
        <v>16</v>
      </c>
      <c r="G76" t="n">
        <v>135.39</v>
      </c>
      <c r="H76" t="n">
        <v>2166.24</v>
      </c>
      <c r="I76" t="n">
        <v>1228.48</v>
      </c>
      <c r="J76" t="n">
        <v>937.76</v>
      </c>
    </row>
    <row r="77">
      <c r="A77" s="2" t="n">
        <v>45546</v>
      </c>
      <c r="B77" t="inlineStr">
        <is>
          <t>Monitor 4K</t>
        </is>
      </c>
      <c r="C77" t="inlineStr">
        <is>
          <t>Peripherals</t>
        </is>
      </c>
      <c r="D77" t="inlineStr">
        <is>
          <t>South</t>
        </is>
      </c>
      <c r="E77" t="inlineStr">
        <is>
          <t>Lisa Park</t>
        </is>
      </c>
      <c r="F77" t="n">
        <v>20</v>
      </c>
      <c r="G77" t="n">
        <v>368.14</v>
      </c>
      <c r="H77" t="n">
        <v>7362.85</v>
      </c>
      <c r="I77" t="n">
        <v>4274.66</v>
      </c>
      <c r="J77" t="n">
        <v>3088.19</v>
      </c>
    </row>
    <row r="78">
      <c r="A78" s="2" t="n">
        <v>45546</v>
      </c>
      <c r="B78" t="inlineStr">
        <is>
          <t>Noise Headphones</t>
        </is>
      </c>
      <c r="C78" t="inlineStr">
        <is>
          <t>Peripherals</t>
        </is>
      </c>
      <c r="D78" t="inlineStr">
        <is>
          <t>West</t>
        </is>
      </c>
      <c r="E78" t="inlineStr">
        <is>
          <t>Sarah Lee</t>
        </is>
      </c>
      <c r="F78" t="n">
        <v>17</v>
      </c>
      <c r="G78" t="n">
        <v>252.71</v>
      </c>
      <c r="H78" t="n">
        <v>4296.09</v>
      </c>
      <c r="I78" t="n">
        <v>2367.34</v>
      </c>
      <c r="J78" t="n">
        <v>1928.75</v>
      </c>
    </row>
    <row r="79">
      <c r="A79" s="2" t="n">
        <v>45554</v>
      </c>
      <c r="B79" t="inlineStr">
        <is>
          <t>Webcam HD</t>
        </is>
      </c>
      <c r="C79" t="inlineStr">
        <is>
          <t>Mobile</t>
        </is>
      </c>
      <c r="D79" t="inlineStr">
        <is>
          <t>East</t>
        </is>
      </c>
      <c r="E79" t="inlineStr">
        <is>
          <t>Sarah Lee</t>
        </is>
      </c>
      <c r="F79" t="n">
        <v>20</v>
      </c>
      <c r="G79" t="n">
        <v>111.81</v>
      </c>
      <c r="H79" t="n">
        <v>2236.13</v>
      </c>
      <c r="I79" t="n">
        <v>1623.82</v>
      </c>
      <c r="J79" t="n">
        <v>612.3099999999999</v>
      </c>
    </row>
    <row r="80">
      <c r="A80" s="2" t="n">
        <v>45554</v>
      </c>
      <c r="B80" t="inlineStr">
        <is>
          <t>Noise Headphones</t>
        </is>
      </c>
      <c r="C80" t="inlineStr">
        <is>
          <t>Electronics</t>
        </is>
      </c>
      <c r="D80" t="inlineStr">
        <is>
          <t>West</t>
        </is>
      </c>
      <c r="E80" t="inlineStr">
        <is>
          <t>Emma Davis</t>
        </is>
      </c>
      <c r="F80" t="n">
        <v>21</v>
      </c>
      <c r="G80" t="n">
        <v>243.73</v>
      </c>
      <c r="H80" t="n">
        <v>5118.34</v>
      </c>
      <c r="I80" t="n">
        <v>3455.76</v>
      </c>
      <c r="J80" t="n">
        <v>1662.58</v>
      </c>
    </row>
    <row r="81">
      <c r="A81" s="2" t="n">
        <v>45555</v>
      </c>
      <c r="B81" t="inlineStr">
        <is>
          <t>Smartphone X</t>
        </is>
      </c>
      <c r="C81" t="inlineStr">
        <is>
          <t>Mobile</t>
        </is>
      </c>
      <c r="D81" t="inlineStr">
        <is>
          <t>South</t>
        </is>
      </c>
      <c r="E81" t="inlineStr">
        <is>
          <t>Emma Davis</t>
        </is>
      </c>
      <c r="F81" t="n">
        <v>12</v>
      </c>
      <c r="G81" t="n">
        <v>954.01</v>
      </c>
      <c r="H81" t="n">
        <v>11448.15</v>
      </c>
      <c r="I81" t="n">
        <v>6763.65</v>
      </c>
      <c r="J81" t="n">
        <v>4684.5</v>
      </c>
    </row>
    <row r="82">
      <c r="A82" s="2" t="n">
        <v>45556</v>
      </c>
      <c r="B82" t="inlineStr">
        <is>
          <t>Wireless Keyboard</t>
        </is>
      </c>
      <c r="C82" t="inlineStr">
        <is>
          <t>Accessories</t>
        </is>
      </c>
      <c r="D82" t="inlineStr">
        <is>
          <t>West</t>
        </is>
      </c>
      <c r="E82" t="inlineStr">
        <is>
          <t>Sarah Lee</t>
        </is>
      </c>
      <c r="F82" t="n">
        <v>16</v>
      </c>
      <c r="G82" t="n">
        <v>108.15</v>
      </c>
      <c r="H82" t="n">
        <v>1730.42</v>
      </c>
      <c r="I82" t="n">
        <v>1038.01</v>
      </c>
      <c r="J82" t="n">
        <v>692.41</v>
      </c>
    </row>
    <row r="83">
      <c r="A83" s="2" t="n">
        <v>45557</v>
      </c>
      <c r="B83" t="inlineStr">
        <is>
          <t>USB-C Hub</t>
        </is>
      </c>
      <c r="C83" t="inlineStr">
        <is>
          <t>Accessories</t>
        </is>
      </c>
      <c r="D83" t="inlineStr">
        <is>
          <t>East</t>
        </is>
      </c>
      <c r="E83" t="inlineStr">
        <is>
          <t>Sarah Lee</t>
        </is>
      </c>
      <c r="F83" t="n">
        <v>25</v>
      </c>
      <c r="G83" t="n">
        <v>54.36</v>
      </c>
      <c r="H83" t="n">
        <v>1359.12</v>
      </c>
      <c r="I83" t="n">
        <v>1000.57</v>
      </c>
      <c r="J83" t="n">
        <v>358.55</v>
      </c>
    </row>
    <row r="84">
      <c r="A84" s="2" t="n">
        <v>45558</v>
      </c>
      <c r="B84" t="inlineStr">
        <is>
          <t>Laptop Pro</t>
        </is>
      </c>
      <c r="C84" t="inlineStr">
        <is>
          <t>Peripherals</t>
        </is>
      </c>
      <c r="D84" t="inlineStr">
        <is>
          <t>South</t>
        </is>
      </c>
      <c r="E84" t="inlineStr">
        <is>
          <t>Emma Davis</t>
        </is>
      </c>
      <c r="F84" t="n">
        <v>22</v>
      </c>
      <c r="G84" t="n">
        <v>1117.44</v>
      </c>
      <c r="H84" t="n">
        <v>24583.78</v>
      </c>
      <c r="I84" t="n">
        <v>14288.07</v>
      </c>
      <c r="J84" t="n">
        <v>10295.71</v>
      </c>
    </row>
    <row r="85">
      <c r="A85" s="2" t="n">
        <v>45558</v>
      </c>
      <c r="B85" t="inlineStr">
        <is>
          <t>Gaming Mouse</t>
        </is>
      </c>
      <c r="C85" t="inlineStr">
        <is>
          <t>Accessories</t>
        </is>
      </c>
      <c r="D85" t="inlineStr">
        <is>
          <t>Central</t>
        </is>
      </c>
      <c r="E85" t="inlineStr">
        <is>
          <t>John Smith</t>
        </is>
      </c>
      <c r="F85" t="n">
        <v>14</v>
      </c>
      <c r="G85" t="n">
        <v>80.79000000000001</v>
      </c>
      <c r="H85" t="n">
        <v>1131.03</v>
      </c>
      <c r="I85" t="n">
        <v>783.71</v>
      </c>
      <c r="J85" t="n">
        <v>347.32</v>
      </c>
    </row>
    <row r="86">
      <c r="A86" s="2" t="n">
        <v>45559</v>
      </c>
      <c r="B86" t="inlineStr">
        <is>
          <t>Webcam HD</t>
        </is>
      </c>
      <c r="C86" t="inlineStr">
        <is>
          <t>Accessories</t>
        </is>
      </c>
      <c r="D86" t="inlineStr">
        <is>
          <t>West</t>
        </is>
      </c>
      <c r="E86" t="inlineStr">
        <is>
          <t>James Wilson</t>
        </is>
      </c>
      <c r="F86" t="n">
        <v>21</v>
      </c>
      <c r="G86" t="n">
        <v>114.48</v>
      </c>
      <c r="H86" t="n">
        <v>2403.99</v>
      </c>
      <c r="I86" t="n">
        <v>1718.88</v>
      </c>
      <c r="J86" t="n">
        <v>685.11</v>
      </c>
    </row>
    <row r="87">
      <c r="A87" s="2" t="n">
        <v>45562</v>
      </c>
      <c r="B87" t="inlineStr">
        <is>
          <t>Noise Headphones</t>
        </is>
      </c>
      <c r="C87" t="inlineStr">
        <is>
          <t>Mobile</t>
        </is>
      </c>
      <c r="D87" t="inlineStr">
        <is>
          <t>North</t>
        </is>
      </c>
      <c r="E87" t="inlineStr">
        <is>
          <t>Anna Kim</t>
        </is>
      </c>
      <c r="F87" t="n">
        <v>19</v>
      </c>
      <c r="G87" t="n">
        <v>225.91</v>
      </c>
      <c r="H87" t="n">
        <v>4292.2</v>
      </c>
      <c r="I87" t="n">
        <v>3109.38</v>
      </c>
      <c r="J87" t="n">
        <v>1182.83</v>
      </c>
    </row>
    <row r="88">
      <c r="A88" s="2" t="n">
        <v>45564</v>
      </c>
      <c r="B88" t="inlineStr">
        <is>
          <t>USB-C Hub</t>
        </is>
      </c>
      <c r="C88" t="inlineStr">
        <is>
          <t>Peripherals</t>
        </is>
      </c>
      <c r="D88" t="inlineStr">
        <is>
          <t>Central</t>
        </is>
      </c>
      <c r="E88" t="inlineStr">
        <is>
          <t>Emma Davis</t>
        </is>
      </c>
      <c r="F88" t="n">
        <v>16</v>
      </c>
      <c r="G88" t="n">
        <v>57.58</v>
      </c>
      <c r="H88" t="n">
        <v>921.36</v>
      </c>
      <c r="I88" t="n">
        <v>680.09</v>
      </c>
      <c r="J88" t="n">
        <v>241.27</v>
      </c>
    </row>
    <row r="89">
      <c r="A89" s="2" t="n">
        <v>45567</v>
      </c>
      <c r="B89" t="inlineStr">
        <is>
          <t>Smartphone X</t>
        </is>
      </c>
      <c r="C89" t="inlineStr">
        <is>
          <t>Electronics</t>
        </is>
      </c>
      <c r="D89" t="inlineStr">
        <is>
          <t>East</t>
        </is>
      </c>
      <c r="E89" t="inlineStr">
        <is>
          <t>Tom Brown</t>
        </is>
      </c>
      <c r="F89" t="n">
        <v>20</v>
      </c>
      <c r="G89" t="n">
        <v>892.64</v>
      </c>
      <c r="H89" t="n">
        <v>17852.89</v>
      </c>
      <c r="I89" t="n">
        <v>13318.37</v>
      </c>
      <c r="J89" t="n">
        <v>4534.52</v>
      </c>
    </row>
    <row r="90">
      <c r="A90" s="2" t="n">
        <v>45567</v>
      </c>
      <c r="B90" t="inlineStr">
        <is>
          <t>Monitor 4K</t>
        </is>
      </c>
      <c r="C90" t="inlineStr">
        <is>
          <t>Accessories</t>
        </is>
      </c>
      <c r="D90" t="inlineStr">
        <is>
          <t>North</t>
        </is>
      </c>
      <c r="E90" t="inlineStr">
        <is>
          <t>Lisa Park</t>
        </is>
      </c>
      <c r="F90" t="n">
        <v>18</v>
      </c>
      <c r="G90" t="n">
        <v>410.68</v>
      </c>
      <c r="H90" t="n">
        <v>7392.28</v>
      </c>
      <c r="I90" t="n">
        <v>4857.88</v>
      </c>
      <c r="J90" t="n">
        <v>2534.41</v>
      </c>
    </row>
    <row r="91">
      <c r="A91" s="2" t="n">
        <v>45568</v>
      </c>
      <c r="B91" t="inlineStr">
        <is>
          <t>Laptop Pro</t>
        </is>
      </c>
      <c r="C91" t="inlineStr">
        <is>
          <t>Mobile</t>
        </is>
      </c>
      <c r="D91" t="inlineStr">
        <is>
          <t>South</t>
        </is>
      </c>
      <c r="E91" t="inlineStr">
        <is>
          <t>Mike Chen</t>
        </is>
      </c>
      <c r="F91" t="n">
        <v>19</v>
      </c>
      <c r="G91" t="n">
        <v>1316.36</v>
      </c>
      <c r="H91" t="n">
        <v>25010.88</v>
      </c>
      <c r="I91" t="n">
        <v>17952.3</v>
      </c>
      <c r="J91" t="n">
        <v>7058.58</v>
      </c>
    </row>
    <row r="92">
      <c r="A92" s="2" t="n">
        <v>45568</v>
      </c>
      <c r="B92" t="inlineStr">
        <is>
          <t>Portable SSD</t>
        </is>
      </c>
      <c r="C92" t="inlineStr">
        <is>
          <t>Accessories</t>
        </is>
      </c>
      <c r="D92" t="inlineStr">
        <is>
          <t>West</t>
        </is>
      </c>
      <c r="E92" t="inlineStr">
        <is>
          <t>Lisa Park</t>
        </is>
      </c>
      <c r="F92" t="n">
        <v>18</v>
      </c>
      <c r="G92" t="n">
        <v>158.31</v>
      </c>
      <c r="H92" t="n">
        <v>2849.66</v>
      </c>
      <c r="I92" t="n">
        <v>1885.57</v>
      </c>
      <c r="J92" t="n">
        <v>964.09</v>
      </c>
    </row>
    <row r="93">
      <c r="A93" s="2" t="n">
        <v>45569</v>
      </c>
      <c r="B93" t="inlineStr">
        <is>
          <t>Noise Headphones</t>
        </is>
      </c>
      <c r="C93" t="inlineStr">
        <is>
          <t>Peripherals</t>
        </is>
      </c>
      <c r="D93" t="inlineStr">
        <is>
          <t>West</t>
        </is>
      </c>
      <c r="E93" t="inlineStr">
        <is>
          <t>John Smith</t>
        </is>
      </c>
      <c r="F93" t="n">
        <v>25</v>
      </c>
      <c r="G93" t="n">
        <v>258.9</v>
      </c>
      <c r="H93" t="n">
        <v>6472.52</v>
      </c>
      <c r="I93" t="n">
        <v>4292.23</v>
      </c>
      <c r="J93" t="n">
        <v>2180.29</v>
      </c>
    </row>
    <row r="94">
      <c r="A94" s="2" t="n">
        <v>45569</v>
      </c>
      <c r="B94" t="inlineStr">
        <is>
          <t>Wireless Keyboard</t>
        </is>
      </c>
      <c r="C94" t="inlineStr">
        <is>
          <t>Electronics</t>
        </is>
      </c>
      <c r="D94" t="inlineStr">
        <is>
          <t>West</t>
        </is>
      </c>
      <c r="E94" t="inlineStr">
        <is>
          <t>Mike Chen</t>
        </is>
      </c>
      <c r="F94" t="n">
        <v>15</v>
      </c>
      <c r="G94" t="n">
        <v>94.53</v>
      </c>
      <c r="H94" t="n">
        <v>1418</v>
      </c>
      <c r="I94" t="n">
        <v>880.58</v>
      </c>
      <c r="J94" t="n">
        <v>537.42</v>
      </c>
    </row>
    <row r="95">
      <c r="A95" s="2" t="n">
        <v>45571</v>
      </c>
      <c r="B95" t="inlineStr">
        <is>
          <t>Portable SSD</t>
        </is>
      </c>
      <c r="C95" t="inlineStr">
        <is>
          <t>Peripherals</t>
        </is>
      </c>
      <c r="D95" t="inlineStr">
        <is>
          <t>West</t>
        </is>
      </c>
      <c r="E95" t="inlineStr">
        <is>
          <t>James Wilson</t>
        </is>
      </c>
      <c r="F95" t="n">
        <v>18</v>
      </c>
      <c r="G95" t="n">
        <v>162.19</v>
      </c>
      <c r="H95" t="n">
        <v>2919.49</v>
      </c>
      <c r="I95" t="n">
        <v>1970.21</v>
      </c>
      <c r="J95" t="n">
        <v>949.28</v>
      </c>
    </row>
    <row r="96">
      <c r="A96" s="2" t="n">
        <v>45571</v>
      </c>
      <c r="B96" t="inlineStr">
        <is>
          <t>USB-C Hub</t>
        </is>
      </c>
      <c r="C96" t="inlineStr">
        <is>
          <t>Mobile</t>
        </is>
      </c>
      <c r="D96" t="inlineStr">
        <is>
          <t>East</t>
        </is>
      </c>
      <c r="E96" t="inlineStr">
        <is>
          <t>Tom Brown</t>
        </is>
      </c>
      <c r="F96" t="n">
        <v>18</v>
      </c>
      <c r="G96" t="n">
        <v>58.09</v>
      </c>
      <c r="H96" t="n">
        <v>1045.61</v>
      </c>
      <c r="I96" t="n">
        <v>769.73</v>
      </c>
      <c r="J96" t="n">
        <v>275.88</v>
      </c>
    </row>
    <row r="97">
      <c r="A97" s="2" t="n">
        <v>45571</v>
      </c>
      <c r="B97" t="inlineStr">
        <is>
          <t>Webcam HD</t>
        </is>
      </c>
      <c r="C97" t="inlineStr">
        <is>
          <t>Storage</t>
        </is>
      </c>
      <c r="D97" t="inlineStr">
        <is>
          <t>West</t>
        </is>
      </c>
      <c r="E97" t="inlineStr">
        <is>
          <t>Anna Kim</t>
        </is>
      </c>
      <c r="F97" t="n">
        <v>17</v>
      </c>
      <c r="G97" t="n">
        <v>127.27</v>
      </c>
      <c r="H97" t="n">
        <v>2163.63</v>
      </c>
      <c r="I97" t="n">
        <v>1423.31</v>
      </c>
      <c r="J97" t="n">
        <v>740.33</v>
      </c>
    </row>
    <row r="98">
      <c r="A98" s="2" t="n">
        <v>45573</v>
      </c>
      <c r="B98" t="inlineStr">
        <is>
          <t>Tablet Air</t>
        </is>
      </c>
      <c r="C98" t="inlineStr">
        <is>
          <t>Mobile</t>
        </is>
      </c>
      <c r="D98" t="inlineStr">
        <is>
          <t>East</t>
        </is>
      </c>
      <c r="E98" t="inlineStr">
        <is>
          <t>Sarah Lee</t>
        </is>
      </c>
      <c r="F98" t="n">
        <v>15</v>
      </c>
      <c r="G98" t="n">
        <v>643.41</v>
      </c>
      <c r="H98" t="n">
        <v>9651.209999999999</v>
      </c>
      <c r="I98" t="n">
        <v>7134.4</v>
      </c>
      <c r="J98" t="n">
        <v>2516.81</v>
      </c>
    </row>
    <row r="99">
      <c r="A99" s="2" t="n">
        <v>45573</v>
      </c>
      <c r="B99" t="inlineStr">
        <is>
          <t>Portable SSD</t>
        </is>
      </c>
      <c r="C99" t="inlineStr">
        <is>
          <t>Electronics</t>
        </is>
      </c>
      <c r="D99" t="inlineStr">
        <is>
          <t>North</t>
        </is>
      </c>
      <c r="E99" t="inlineStr">
        <is>
          <t>James Wilson</t>
        </is>
      </c>
      <c r="F99" t="n">
        <v>14</v>
      </c>
      <c r="G99" t="n">
        <v>164.08</v>
      </c>
      <c r="H99" t="n">
        <v>2297.18</v>
      </c>
      <c r="I99" t="n">
        <v>1661.09</v>
      </c>
      <c r="J99" t="n">
        <v>636.09</v>
      </c>
    </row>
    <row r="100">
      <c r="A100" s="2" t="n">
        <v>45573</v>
      </c>
      <c r="B100" t="inlineStr">
        <is>
          <t>USB-C Hub</t>
        </is>
      </c>
      <c r="C100" t="inlineStr">
        <is>
          <t>Mobile</t>
        </is>
      </c>
      <c r="D100" t="inlineStr">
        <is>
          <t>Central</t>
        </is>
      </c>
      <c r="E100" t="inlineStr">
        <is>
          <t>Lisa Park</t>
        </is>
      </c>
      <c r="F100" t="n">
        <v>24</v>
      </c>
      <c r="G100" t="n">
        <v>54.69</v>
      </c>
      <c r="H100" t="n">
        <v>1312.66</v>
      </c>
      <c r="I100" t="n">
        <v>976.38</v>
      </c>
      <c r="J100" t="n">
        <v>336.28</v>
      </c>
    </row>
    <row r="101">
      <c r="A101" s="2" t="n">
        <v>45574</v>
      </c>
      <c r="B101" t="inlineStr">
        <is>
          <t>Tablet Air</t>
        </is>
      </c>
      <c r="C101" t="inlineStr">
        <is>
          <t>Electronics</t>
        </is>
      </c>
      <c r="D101" t="inlineStr">
        <is>
          <t>West</t>
        </is>
      </c>
      <c r="E101" t="inlineStr">
        <is>
          <t>Lisa Park</t>
        </is>
      </c>
      <c r="F101" t="n">
        <v>20</v>
      </c>
      <c r="G101" t="n">
        <v>648.08</v>
      </c>
      <c r="H101" t="n">
        <v>12961.68</v>
      </c>
      <c r="I101" t="n">
        <v>8222.17</v>
      </c>
      <c r="J101" t="n">
        <v>4739.52</v>
      </c>
    </row>
    <row r="102">
      <c r="A102" s="2" t="n">
        <v>45574</v>
      </c>
      <c r="B102" t="inlineStr">
        <is>
          <t>Laptop Pro</t>
        </is>
      </c>
      <c r="C102" t="inlineStr">
        <is>
          <t>Peripherals</t>
        </is>
      </c>
      <c r="D102" t="inlineStr">
        <is>
          <t>East</t>
        </is>
      </c>
      <c r="E102" t="inlineStr">
        <is>
          <t>John Smith</t>
        </is>
      </c>
      <c r="F102" t="n">
        <v>21</v>
      </c>
      <c r="G102" t="n">
        <v>1180.7</v>
      </c>
      <c r="H102" t="n">
        <v>24794.78</v>
      </c>
      <c r="I102" t="n">
        <v>14865.62</v>
      </c>
      <c r="J102" t="n">
        <v>9929.17</v>
      </c>
    </row>
    <row r="103">
      <c r="A103" s="2" t="n">
        <v>45575</v>
      </c>
      <c r="B103" t="inlineStr">
        <is>
          <t>Gaming Mouse</t>
        </is>
      </c>
      <c r="C103" t="inlineStr">
        <is>
          <t>Storage</t>
        </is>
      </c>
      <c r="D103" t="inlineStr">
        <is>
          <t>East</t>
        </is>
      </c>
      <c r="E103" t="inlineStr">
        <is>
          <t>Lisa Park</t>
        </is>
      </c>
      <c r="F103" t="n">
        <v>20</v>
      </c>
      <c r="G103" t="n">
        <v>82.55</v>
      </c>
      <c r="H103" t="n">
        <v>1650.99</v>
      </c>
      <c r="I103" t="n">
        <v>1203.61</v>
      </c>
      <c r="J103" t="n">
        <v>447.38</v>
      </c>
    </row>
    <row r="104">
      <c r="A104" s="2" t="n">
        <v>45575</v>
      </c>
      <c r="B104" t="inlineStr">
        <is>
          <t>Portable SSD</t>
        </is>
      </c>
      <c r="C104" t="inlineStr">
        <is>
          <t>Mobile</t>
        </is>
      </c>
      <c r="D104" t="inlineStr">
        <is>
          <t>South</t>
        </is>
      </c>
      <c r="E104" t="inlineStr">
        <is>
          <t>James Wilson</t>
        </is>
      </c>
      <c r="F104" t="n">
        <v>10</v>
      </c>
      <c r="G104" t="n">
        <v>162.25</v>
      </c>
      <c r="H104" t="n">
        <v>1622.48</v>
      </c>
      <c r="I104" t="n">
        <v>970.1</v>
      </c>
      <c r="J104" t="n">
        <v>652.38</v>
      </c>
    </row>
    <row r="105">
      <c r="A105" s="2" t="n">
        <v>45575</v>
      </c>
      <c r="B105" t="inlineStr">
        <is>
          <t>Tablet Air</t>
        </is>
      </c>
      <c r="C105" t="inlineStr">
        <is>
          <t>Mobile</t>
        </is>
      </c>
      <c r="D105" t="inlineStr">
        <is>
          <t>South</t>
        </is>
      </c>
      <c r="E105" t="inlineStr">
        <is>
          <t>Mike Chen</t>
        </is>
      </c>
      <c r="F105" t="n">
        <v>13</v>
      </c>
      <c r="G105" t="n">
        <v>555.33</v>
      </c>
      <c r="H105" t="n">
        <v>7219.23</v>
      </c>
      <c r="I105" t="n">
        <v>5163.29</v>
      </c>
      <c r="J105" t="n">
        <v>2055.94</v>
      </c>
    </row>
    <row r="106">
      <c r="A106" s="2" t="n">
        <v>45577</v>
      </c>
      <c r="B106" t="inlineStr">
        <is>
          <t>Tablet Air</t>
        </is>
      </c>
      <c r="C106" t="inlineStr">
        <is>
          <t>Electronics</t>
        </is>
      </c>
      <c r="D106" t="inlineStr">
        <is>
          <t>Central</t>
        </is>
      </c>
      <c r="E106" t="inlineStr">
        <is>
          <t>Lisa Park</t>
        </is>
      </c>
      <c r="F106" t="n">
        <v>26</v>
      </c>
      <c r="G106" t="n">
        <v>597.67</v>
      </c>
      <c r="H106" t="n">
        <v>15539.43</v>
      </c>
      <c r="I106" t="n">
        <v>10387.82</v>
      </c>
      <c r="J106" t="n">
        <v>5151.61</v>
      </c>
    </row>
    <row r="107">
      <c r="A107" s="2" t="n">
        <v>45578</v>
      </c>
      <c r="B107" t="inlineStr">
        <is>
          <t>Gaming Mouse</t>
        </is>
      </c>
      <c r="C107" t="inlineStr">
        <is>
          <t>Peripherals</t>
        </is>
      </c>
      <c r="D107" t="inlineStr">
        <is>
          <t>East</t>
        </is>
      </c>
      <c r="E107" t="inlineStr">
        <is>
          <t>Tom Brown</t>
        </is>
      </c>
      <c r="F107" t="n">
        <v>23</v>
      </c>
      <c r="G107" t="n">
        <v>81.06</v>
      </c>
      <c r="H107" t="n">
        <v>1864.44</v>
      </c>
      <c r="I107" t="n">
        <v>1202.95</v>
      </c>
      <c r="J107" t="n">
        <v>661.48</v>
      </c>
    </row>
    <row r="108">
      <c r="A108" s="2" t="n">
        <v>45579</v>
      </c>
      <c r="B108" t="inlineStr">
        <is>
          <t>Webcam HD</t>
        </is>
      </c>
      <c r="C108" t="inlineStr">
        <is>
          <t>Electronics</t>
        </is>
      </c>
      <c r="D108" t="inlineStr">
        <is>
          <t>South</t>
        </is>
      </c>
      <c r="E108" t="inlineStr">
        <is>
          <t>Lisa Park</t>
        </is>
      </c>
      <c r="F108" t="n">
        <v>18</v>
      </c>
      <c r="G108" t="n">
        <v>121.88</v>
      </c>
      <c r="H108" t="n">
        <v>2193.82</v>
      </c>
      <c r="I108" t="n">
        <v>1222.37</v>
      </c>
      <c r="J108" t="n">
        <v>971.45</v>
      </c>
    </row>
    <row r="109">
      <c r="A109" s="2" t="n">
        <v>45581</v>
      </c>
      <c r="B109" t="inlineStr">
        <is>
          <t>USB-C Hub</t>
        </is>
      </c>
      <c r="C109" t="inlineStr">
        <is>
          <t>Peripherals</t>
        </is>
      </c>
      <c r="D109" t="inlineStr">
        <is>
          <t>West</t>
        </is>
      </c>
      <c r="E109" t="inlineStr">
        <is>
          <t>Lisa Park</t>
        </is>
      </c>
      <c r="F109" t="n">
        <v>15</v>
      </c>
      <c r="G109" t="n">
        <v>62.85</v>
      </c>
      <c r="H109" t="n">
        <v>942.72</v>
      </c>
      <c r="I109" t="n">
        <v>608.25</v>
      </c>
      <c r="J109" t="n">
        <v>334.48</v>
      </c>
    </row>
    <row r="110">
      <c r="A110" s="2" t="n">
        <v>45581</v>
      </c>
      <c r="B110" t="inlineStr">
        <is>
          <t>Tablet Air</t>
        </is>
      </c>
      <c r="C110" t="inlineStr">
        <is>
          <t>Storage</t>
        </is>
      </c>
      <c r="D110" t="inlineStr">
        <is>
          <t>East</t>
        </is>
      </c>
      <c r="E110" t="inlineStr">
        <is>
          <t>Emma Davis</t>
        </is>
      </c>
      <c r="F110" t="n">
        <v>21</v>
      </c>
      <c r="G110" t="n">
        <v>607.28</v>
      </c>
      <c r="H110" t="n">
        <v>12752.86</v>
      </c>
      <c r="I110" t="n">
        <v>8553.309999999999</v>
      </c>
      <c r="J110" t="n">
        <v>4199.55</v>
      </c>
    </row>
    <row r="111">
      <c r="A111" s="2" t="n">
        <v>45581</v>
      </c>
      <c r="B111" t="inlineStr">
        <is>
          <t>USB-C Hub</t>
        </is>
      </c>
      <c r="C111" t="inlineStr">
        <is>
          <t>Electronics</t>
        </is>
      </c>
      <c r="D111" t="inlineStr">
        <is>
          <t>North</t>
        </is>
      </c>
      <c r="E111" t="inlineStr">
        <is>
          <t>Mike Chen</t>
        </is>
      </c>
      <c r="F111" t="n">
        <v>14</v>
      </c>
      <c r="G111" t="n">
        <v>63.24</v>
      </c>
      <c r="H111" t="n">
        <v>885.36</v>
      </c>
      <c r="I111" t="n">
        <v>525.16</v>
      </c>
      <c r="J111" t="n">
        <v>360.2</v>
      </c>
    </row>
    <row r="112">
      <c r="A112" s="2" t="n">
        <v>45584</v>
      </c>
      <c r="B112" t="inlineStr">
        <is>
          <t>USB-C Hub</t>
        </is>
      </c>
      <c r="C112" t="inlineStr">
        <is>
          <t>Peripherals</t>
        </is>
      </c>
      <c r="D112" t="inlineStr">
        <is>
          <t>East</t>
        </is>
      </c>
      <c r="E112" t="inlineStr">
        <is>
          <t>Sarah Lee</t>
        </is>
      </c>
      <c r="F112" t="n">
        <v>22</v>
      </c>
      <c r="G112" t="n">
        <v>65.41</v>
      </c>
      <c r="H112" t="n">
        <v>1439.03</v>
      </c>
      <c r="I112" t="n">
        <v>834.9400000000001</v>
      </c>
      <c r="J112" t="n">
        <v>604.09</v>
      </c>
    </row>
    <row r="113">
      <c r="A113" s="2" t="n">
        <v>45584</v>
      </c>
      <c r="B113" t="inlineStr">
        <is>
          <t>Laptop Pro</t>
        </is>
      </c>
      <c r="C113" t="inlineStr">
        <is>
          <t>Mobile</t>
        </is>
      </c>
      <c r="D113" t="inlineStr">
        <is>
          <t>South</t>
        </is>
      </c>
      <c r="E113" t="inlineStr">
        <is>
          <t>Tom Brown</t>
        </is>
      </c>
      <c r="F113" t="n">
        <v>24</v>
      </c>
      <c r="G113" t="n">
        <v>1258.98</v>
      </c>
      <c r="H113" t="n">
        <v>30215.43</v>
      </c>
      <c r="I113" t="n">
        <v>17842.09</v>
      </c>
      <c r="J113" t="n">
        <v>12373.33</v>
      </c>
    </row>
    <row r="114">
      <c r="A114" s="2" t="n">
        <v>45585</v>
      </c>
      <c r="B114" t="inlineStr">
        <is>
          <t>Tablet Air</t>
        </is>
      </c>
      <c r="C114" t="inlineStr">
        <is>
          <t>Storage</t>
        </is>
      </c>
      <c r="D114" t="inlineStr">
        <is>
          <t>North</t>
        </is>
      </c>
      <c r="E114" t="inlineStr">
        <is>
          <t>John Smith</t>
        </is>
      </c>
      <c r="F114" t="n">
        <v>24</v>
      </c>
      <c r="G114" t="n">
        <v>602.73</v>
      </c>
      <c r="H114" t="n">
        <v>14465.47</v>
      </c>
      <c r="I114" t="n">
        <v>9192.93</v>
      </c>
      <c r="J114" t="n">
        <v>5272.55</v>
      </c>
    </row>
    <row r="115">
      <c r="A115" s="2" t="n">
        <v>45586</v>
      </c>
      <c r="B115" t="inlineStr">
        <is>
          <t>Gaming Mouse</t>
        </is>
      </c>
      <c r="C115" t="inlineStr">
        <is>
          <t>Mobile</t>
        </is>
      </c>
      <c r="D115" t="inlineStr">
        <is>
          <t>North</t>
        </is>
      </c>
      <c r="E115" t="inlineStr">
        <is>
          <t>Tom Brown</t>
        </is>
      </c>
      <c r="F115" t="n">
        <v>22</v>
      </c>
      <c r="G115" t="n">
        <v>72.33</v>
      </c>
      <c r="H115" t="n">
        <v>1591.25</v>
      </c>
      <c r="I115" t="n">
        <v>1183.86</v>
      </c>
      <c r="J115" t="n">
        <v>407.39</v>
      </c>
    </row>
    <row r="116">
      <c r="A116" s="2" t="n">
        <v>45586</v>
      </c>
      <c r="B116" t="inlineStr">
        <is>
          <t>Monitor 4K</t>
        </is>
      </c>
      <c r="C116" t="inlineStr">
        <is>
          <t>Mobile</t>
        </is>
      </c>
      <c r="D116" t="inlineStr">
        <is>
          <t>Central</t>
        </is>
      </c>
      <c r="E116" t="inlineStr">
        <is>
          <t>James Wilson</t>
        </is>
      </c>
      <c r="F116" t="n">
        <v>24</v>
      </c>
      <c r="G116" t="n">
        <v>430.98</v>
      </c>
      <c r="H116" t="n">
        <v>10343.45</v>
      </c>
      <c r="I116" t="n">
        <v>6665.76</v>
      </c>
      <c r="J116" t="n">
        <v>3677.69</v>
      </c>
    </row>
    <row r="117">
      <c r="A117" s="2" t="n">
        <v>45588</v>
      </c>
      <c r="B117" t="inlineStr">
        <is>
          <t>Webcam HD</t>
        </is>
      </c>
      <c r="C117" t="inlineStr">
        <is>
          <t>Peripherals</t>
        </is>
      </c>
      <c r="D117" t="inlineStr">
        <is>
          <t>West</t>
        </is>
      </c>
      <c r="E117" t="inlineStr">
        <is>
          <t>Mike Chen</t>
        </is>
      </c>
      <c r="F117" t="n">
        <v>24</v>
      </c>
      <c r="G117" t="n">
        <v>116.3</v>
      </c>
      <c r="H117" t="n">
        <v>2791.26</v>
      </c>
      <c r="I117" t="n">
        <v>1742.33</v>
      </c>
      <c r="J117" t="n">
        <v>1048.93</v>
      </c>
    </row>
    <row r="118">
      <c r="A118" s="2" t="n">
        <v>45591</v>
      </c>
      <c r="B118" t="inlineStr">
        <is>
          <t>Noise Headphones</t>
        </is>
      </c>
      <c r="C118" t="inlineStr">
        <is>
          <t>Accessories</t>
        </is>
      </c>
      <c r="D118" t="inlineStr">
        <is>
          <t>North</t>
        </is>
      </c>
      <c r="E118" t="inlineStr">
        <is>
          <t>Anna Kim</t>
        </is>
      </c>
      <c r="F118" t="n">
        <v>24</v>
      </c>
      <c r="G118" t="n">
        <v>226.35</v>
      </c>
      <c r="H118" t="n">
        <v>5432.52</v>
      </c>
      <c r="I118" t="n">
        <v>3229.06</v>
      </c>
      <c r="J118" t="n">
        <v>2203.46</v>
      </c>
    </row>
    <row r="119">
      <c r="A119" s="2" t="n">
        <v>45593</v>
      </c>
      <c r="B119" t="inlineStr">
        <is>
          <t>USB-C Hub</t>
        </is>
      </c>
      <c r="C119" t="inlineStr">
        <is>
          <t>Accessories</t>
        </is>
      </c>
      <c r="D119" t="inlineStr">
        <is>
          <t>South</t>
        </is>
      </c>
      <c r="E119" t="inlineStr">
        <is>
          <t>Mike Chen</t>
        </is>
      </c>
      <c r="F119" t="n">
        <v>23</v>
      </c>
      <c r="G119" t="n">
        <v>63.36</v>
      </c>
      <c r="H119" t="n">
        <v>1457.24</v>
      </c>
      <c r="I119" t="n">
        <v>813.03</v>
      </c>
      <c r="J119" t="n">
        <v>644.21</v>
      </c>
    </row>
    <row r="120">
      <c r="A120" s="2" t="n">
        <v>45594</v>
      </c>
      <c r="B120" t="inlineStr">
        <is>
          <t>Laptop Pro</t>
        </is>
      </c>
      <c r="C120" t="inlineStr">
        <is>
          <t>Electronics</t>
        </is>
      </c>
      <c r="D120" t="inlineStr">
        <is>
          <t>South</t>
        </is>
      </c>
      <c r="E120" t="inlineStr">
        <is>
          <t>Anna Kim</t>
        </is>
      </c>
      <c r="F120" t="n">
        <v>20</v>
      </c>
      <c r="G120" t="n">
        <v>1164.22</v>
      </c>
      <c r="H120" t="n">
        <v>23284.39</v>
      </c>
      <c r="I120" t="n">
        <v>13351.58</v>
      </c>
      <c r="J120" t="n">
        <v>9932.809999999999</v>
      </c>
    </row>
    <row r="121">
      <c r="A121" s="2" t="n">
        <v>45595</v>
      </c>
      <c r="B121" t="inlineStr">
        <is>
          <t>Monitor 4K</t>
        </is>
      </c>
      <c r="C121" t="inlineStr">
        <is>
          <t>Electronics</t>
        </is>
      </c>
      <c r="D121" t="inlineStr">
        <is>
          <t>Central</t>
        </is>
      </c>
      <c r="E121" t="inlineStr">
        <is>
          <t>Sarah Lee</t>
        </is>
      </c>
      <c r="F121" t="n">
        <v>25</v>
      </c>
      <c r="G121" t="n">
        <v>438.4</v>
      </c>
      <c r="H121" t="n">
        <v>10959.94</v>
      </c>
      <c r="I121" t="n">
        <v>7347.28</v>
      </c>
      <c r="J121" t="n">
        <v>3612.66</v>
      </c>
    </row>
    <row r="122">
      <c r="A122" s="2" t="n">
        <v>45596</v>
      </c>
      <c r="B122" t="inlineStr">
        <is>
          <t>Portable SSD</t>
        </is>
      </c>
      <c r="C122" t="inlineStr">
        <is>
          <t>Mobile</t>
        </is>
      </c>
      <c r="D122" t="inlineStr">
        <is>
          <t>West</t>
        </is>
      </c>
      <c r="E122" t="inlineStr">
        <is>
          <t>Lisa Park</t>
        </is>
      </c>
      <c r="F122" t="n">
        <v>15</v>
      </c>
      <c r="G122" t="n">
        <v>137.56</v>
      </c>
      <c r="H122" t="n">
        <v>2063.41</v>
      </c>
      <c r="I122" t="n">
        <v>1546.27</v>
      </c>
      <c r="J122" t="n">
        <v>517.14</v>
      </c>
    </row>
    <row r="123">
      <c r="A123" s="2" t="n">
        <v>45597</v>
      </c>
      <c r="B123" t="inlineStr">
        <is>
          <t>Tablet Air</t>
        </is>
      </c>
      <c r="C123" t="inlineStr">
        <is>
          <t>Mobile</t>
        </is>
      </c>
      <c r="D123" t="inlineStr">
        <is>
          <t>Central</t>
        </is>
      </c>
      <c r="E123" t="inlineStr">
        <is>
          <t>Tom Brown</t>
        </is>
      </c>
      <c r="F123" t="n">
        <v>32</v>
      </c>
      <c r="G123" t="n">
        <v>599.66</v>
      </c>
      <c r="H123" t="n">
        <v>19189.15</v>
      </c>
      <c r="I123" t="n">
        <v>12925.23</v>
      </c>
      <c r="J123" t="n">
        <v>6263.93</v>
      </c>
    </row>
    <row r="124">
      <c r="A124" s="2" t="n">
        <v>45598</v>
      </c>
      <c r="B124" t="inlineStr">
        <is>
          <t>Monitor 4K</t>
        </is>
      </c>
      <c r="C124" t="inlineStr">
        <is>
          <t>Storage</t>
        </is>
      </c>
      <c r="D124" t="inlineStr">
        <is>
          <t>South</t>
        </is>
      </c>
      <c r="E124" t="inlineStr">
        <is>
          <t>Emma Davis</t>
        </is>
      </c>
      <c r="F124" t="n">
        <v>24</v>
      </c>
      <c r="G124" t="n">
        <v>396.36</v>
      </c>
      <c r="H124" t="n">
        <v>9512.719999999999</v>
      </c>
      <c r="I124" t="n">
        <v>6425.95</v>
      </c>
      <c r="J124" t="n">
        <v>3086.77</v>
      </c>
    </row>
    <row r="125">
      <c r="A125" s="2" t="n">
        <v>45599</v>
      </c>
      <c r="B125" t="inlineStr">
        <is>
          <t>Wireless Keyboard</t>
        </is>
      </c>
      <c r="C125" t="inlineStr">
        <is>
          <t>Mobile</t>
        </is>
      </c>
      <c r="D125" t="inlineStr">
        <is>
          <t>East</t>
        </is>
      </c>
      <c r="E125" t="inlineStr">
        <is>
          <t>Sarah Lee</t>
        </is>
      </c>
      <c r="F125" t="n">
        <v>23</v>
      </c>
      <c r="G125" t="n">
        <v>92.3</v>
      </c>
      <c r="H125" t="n">
        <v>2122.82</v>
      </c>
      <c r="I125" t="n">
        <v>1426.8</v>
      </c>
      <c r="J125" t="n">
        <v>696.02</v>
      </c>
    </row>
    <row r="126">
      <c r="A126" s="2" t="n">
        <v>45599</v>
      </c>
      <c r="B126" t="inlineStr">
        <is>
          <t>Noise Headphones</t>
        </is>
      </c>
      <c r="C126" t="inlineStr">
        <is>
          <t>Accessories</t>
        </is>
      </c>
      <c r="D126" t="inlineStr">
        <is>
          <t>West</t>
        </is>
      </c>
      <c r="E126" t="inlineStr">
        <is>
          <t>Anna Kim</t>
        </is>
      </c>
      <c r="F126" t="n">
        <v>16</v>
      </c>
      <c r="G126" t="n">
        <v>271.4</v>
      </c>
      <c r="H126" t="n">
        <v>4342.47</v>
      </c>
      <c r="I126" t="n">
        <v>2583.43</v>
      </c>
      <c r="J126" t="n">
        <v>1759.03</v>
      </c>
    </row>
    <row r="127">
      <c r="A127" s="2" t="n">
        <v>45600</v>
      </c>
      <c r="B127" t="inlineStr">
        <is>
          <t>Webcam HD</t>
        </is>
      </c>
      <c r="C127" t="inlineStr">
        <is>
          <t>Accessories</t>
        </is>
      </c>
      <c r="D127" t="inlineStr">
        <is>
          <t>Central</t>
        </is>
      </c>
      <c r="E127" t="inlineStr">
        <is>
          <t>John Smith</t>
        </is>
      </c>
      <c r="F127" t="n">
        <v>21</v>
      </c>
      <c r="G127" t="n">
        <v>110.88</v>
      </c>
      <c r="H127" t="n">
        <v>2328.41</v>
      </c>
      <c r="I127" t="n">
        <v>1437.85</v>
      </c>
      <c r="J127" t="n">
        <v>890.5599999999999</v>
      </c>
    </row>
    <row r="128">
      <c r="A128" s="2" t="n">
        <v>45601</v>
      </c>
      <c r="B128" t="inlineStr">
        <is>
          <t>Wireless Keyboard</t>
        </is>
      </c>
      <c r="C128" t="inlineStr">
        <is>
          <t>Accessories</t>
        </is>
      </c>
      <c r="D128" t="inlineStr">
        <is>
          <t>Central</t>
        </is>
      </c>
      <c r="E128" t="inlineStr">
        <is>
          <t>Mike Chen</t>
        </is>
      </c>
      <c r="F128" t="n">
        <v>22</v>
      </c>
      <c r="G128" t="n">
        <v>97.18000000000001</v>
      </c>
      <c r="H128" t="n">
        <v>2138.06</v>
      </c>
      <c r="I128" t="n">
        <v>1429.49</v>
      </c>
      <c r="J128" t="n">
        <v>708.5700000000001</v>
      </c>
    </row>
    <row r="129">
      <c r="A129" s="2" t="n">
        <v>45601</v>
      </c>
      <c r="B129" t="inlineStr">
        <is>
          <t>Portable SSD</t>
        </is>
      </c>
      <c r="C129" t="inlineStr">
        <is>
          <t>Peripherals</t>
        </is>
      </c>
      <c r="D129" t="inlineStr">
        <is>
          <t>East</t>
        </is>
      </c>
      <c r="E129" t="inlineStr">
        <is>
          <t>Anna Kim</t>
        </is>
      </c>
      <c r="F129" t="n">
        <v>18</v>
      </c>
      <c r="G129" t="n">
        <v>135.71</v>
      </c>
      <c r="H129" t="n">
        <v>2442.76</v>
      </c>
      <c r="I129" t="n">
        <v>1657.16</v>
      </c>
      <c r="J129" t="n">
        <v>785.61</v>
      </c>
    </row>
    <row r="130">
      <c r="A130" s="2" t="n">
        <v>45601</v>
      </c>
      <c r="B130" t="inlineStr">
        <is>
          <t>Portable SSD</t>
        </is>
      </c>
      <c r="C130" t="inlineStr">
        <is>
          <t>Peripherals</t>
        </is>
      </c>
      <c r="D130" t="inlineStr">
        <is>
          <t>Central</t>
        </is>
      </c>
      <c r="E130" t="inlineStr">
        <is>
          <t>James Wilson</t>
        </is>
      </c>
      <c r="F130" t="n">
        <v>20</v>
      </c>
      <c r="G130" t="n">
        <v>151.12</v>
      </c>
      <c r="H130" t="n">
        <v>3022.44</v>
      </c>
      <c r="I130" t="n">
        <v>2218.38</v>
      </c>
      <c r="J130" t="n">
        <v>804.0599999999999</v>
      </c>
    </row>
    <row r="131">
      <c r="A131" s="2" t="n">
        <v>45602</v>
      </c>
      <c r="B131" t="inlineStr">
        <is>
          <t>Gaming Mouse</t>
        </is>
      </c>
      <c r="C131" t="inlineStr">
        <is>
          <t>Peripherals</t>
        </is>
      </c>
      <c r="D131" t="inlineStr">
        <is>
          <t>North</t>
        </is>
      </c>
      <c r="E131" t="inlineStr">
        <is>
          <t>John Smith</t>
        </is>
      </c>
      <c r="F131" t="n">
        <v>18</v>
      </c>
      <c r="G131" t="n">
        <v>87.54000000000001</v>
      </c>
      <c r="H131" t="n">
        <v>1575.76</v>
      </c>
      <c r="I131" t="n">
        <v>923.7</v>
      </c>
      <c r="J131" t="n">
        <v>652.0599999999999</v>
      </c>
    </row>
    <row r="132">
      <c r="A132" s="2" t="n">
        <v>45603</v>
      </c>
      <c r="B132" t="inlineStr">
        <is>
          <t>Monitor 4K</t>
        </is>
      </c>
      <c r="C132" t="inlineStr">
        <is>
          <t>Peripherals</t>
        </is>
      </c>
      <c r="D132" t="inlineStr">
        <is>
          <t>North</t>
        </is>
      </c>
      <c r="E132" t="inlineStr">
        <is>
          <t>Sarah Lee</t>
        </is>
      </c>
      <c r="F132" t="n">
        <v>24</v>
      </c>
      <c r="G132" t="n">
        <v>408.6</v>
      </c>
      <c r="H132" t="n">
        <v>9806.49</v>
      </c>
      <c r="I132" t="n">
        <v>5728.02</v>
      </c>
      <c r="J132" t="n">
        <v>4078.47</v>
      </c>
    </row>
    <row r="133">
      <c r="A133" s="2" t="n">
        <v>45604</v>
      </c>
      <c r="B133" t="inlineStr">
        <is>
          <t>Laptop Pro</t>
        </is>
      </c>
      <c r="C133" t="inlineStr">
        <is>
          <t>Storage</t>
        </is>
      </c>
      <c r="D133" t="inlineStr">
        <is>
          <t>West</t>
        </is>
      </c>
      <c r="E133" t="inlineStr">
        <is>
          <t>Anna Kim</t>
        </is>
      </c>
      <c r="F133" t="n">
        <v>16</v>
      </c>
      <c r="G133" t="n">
        <v>1305.2</v>
      </c>
      <c r="H133" t="n">
        <v>20883.23</v>
      </c>
      <c r="I133" t="n">
        <v>12242.72</v>
      </c>
      <c r="J133" t="n">
        <v>8640.51</v>
      </c>
    </row>
    <row r="134">
      <c r="A134" s="2" t="n">
        <v>45604</v>
      </c>
      <c r="B134" t="inlineStr">
        <is>
          <t>Monitor 4K</t>
        </is>
      </c>
      <c r="C134" t="inlineStr">
        <is>
          <t>Accessories</t>
        </is>
      </c>
      <c r="D134" t="inlineStr">
        <is>
          <t>Central</t>
        </is>
      </c>
      <c r="E134" t="inlineStr">
        <is>
          <t>Sarah Lee</t>
        </is>
      </c>
      <c r="F134" t="n">
        <v>21</v>
      </c>
      <c r="G134" t="n">
        <v>426.45</v>
      </c>
      <c r="H134" t="n">
        <v>8955.440000000001</v>
      </c>
      <c r="I134" t="n">
        <v>6653.94</v>
      </c>
      <c r="J134" t="n">
        <v>2301.5</v>
      </c>
    </row>
    <row r="135">
      <c r="A135" s="2" t="n">
        <v>45606</v>
      </c>
      <c r="B135" t="inlineStr">
        <is>
          <t>Portable SSD</t>
        </is>
      </c>
      <c r="C135" t="inlineStr">
        <is>
          <t>Storage</t>
        </is>
      </c>
      <c r="D135" t="inlineStr">
        <is>
          <t>East</t>
        </is>
      </c>
      <c r="E135" t="inlineStr">
        <is>
          <t>Emma Davis</t>
        </is>
      </c>
      <c r="F135" t="n">
        <v>13</v>
      </c>
      <c r="G135" t="n">
        <v>138.53</v>
      </c>
      <c r="H135" t="n">
        <v>1800.84</v>
      </c>
      <c r="I135" t="n">
        <v>1224.28</v>
      </c>
      <c r="J135" t="n">
        <v>576.55</v>
      </c>
    </row>
    <row r="136">
      <c r="A136" s="2" t="n">
        <v>45610</v>
      </c>
      <c r="B136" t="inlineStr">
        <is>
          <t>Noise Headphones</t>
        </is>
      </c>
      <c r="C136" t="inlineStr">
        <is>
          <t>Mobile</t>
        </is>
      </c>
      <c r="D136" t="inlineStr">
        <is>
          <t>East</t>
        </is>
      </c>
      <c r="E136" t="inlineStr">
        <is>
          <t>Lisa Park</t>
        </is>
      </c>
      <c r="F136" t="n">
        <v>21</v>
      </c>
      <c r="G136" t="n">
        <v>242.49</v>
      </c>
      <c r="H136" t="n">
        <v>5092.19</v>
      </c>
      <c r="I136" t="n">
        <v>3589.64</v>
      </c>
      <c r="J136" t="n">
        <v>1502.55</v>
      </c>
    </row>
    <row r="137">
      <c r="A137" s="2" t="n">
        <v>45610</v>
      </c>
      <c r="B137" t="inlineStr">
        <is>
          <t>Wireless Keyboard</t>
        </is>
      </c>
      <c r="C137" t="inlineStr">
        <is>
          <t>Storage</t>
        </is>
      </c>
      <c r="D137" t="inlineStr">
        <is>
          <t>North</t>
        </is>
      </c>
      <c r="E137" t="inlineStr">
        <is>
          <t>Mike Chen</t>
        </is>
      </c>
      <c r="F137" t="n">
        <v>23</v>
      </c>
      <c r="G137" t="n">
        <v>99.83</v>
      </c>
      <c r="H137" t="n">
        <v>2296.14</v>
      </c>
      <c r="I137" t="n">
        <v>1480.31</v>
      </c>
      <c r="J137" t="n">
        <v>815.83</v>
      </c>
    </row>
    <row r="138">
      <c r="A138" s="2" t="n">
        <v>45611</v>
      </c>
      <c r="B138" t="inlineStr">
        <is>
          <t>USB-C Hub</t>
        </is>
      </c>
      <c r="C138" t="inlineStr">
        <is>
          <t>Electronics</t>
        </is>
      </c>
      <c r="D138" t="inlineStr">
        <is>
          <t>Central</t>
        </is>
      </c>
      <c r="E138" t="inlineStr">
        <is>
          <t>John Smith</t>
        </is>
      </c>
      <c r="F138" t="n">
        <v>21</v>
      </c>
      <c r="G138" t="n">
        <v>58.71</v>
      </c>
      <c r="H138" t="n">
        <v>1232.85</v>
      </c>
      <c r="I138" t="n">
        <v>785.9299999999999</v>
      </c>
      <c r="J138" t="n">
        <v>446.91</v>
      </c>
    </row>
    <row r="139">
      <c r="A139" s="2" t="n">
        <v>45612</v>
      </c>
      <c r="B139" t="inlineStr">
        <is>
          <t>Webcam HD</t>
        </is>
      </c>
      <c r="C139" t="inlineStr">
        <is>
          <t>Mobile</t>
        </is>
      </c>
      <c r="D139" t="inlineStr">
        <is>
          <t>West</t>
        </is>
      </c>
      <c r="E139" t="inlineStr">
        <is>
          <t>Sarah Lee</t>
        </is>
      </c>
      <c r="F139" t="n">
        <v>35</v>
      </c>
      <c r="G139" t="n">
        <v>109.37</v>
      </c>
      <c r="H139" t="n">
        <v>3827.93</v>
      </c>
      <c r="I139" t="n">
        <v>2321.4</v>
      </c>
      <c r="J139" t="n">
        <v>1506.53</v>
      </c>
    </row>
    <row r="140">
      <c r="A140" s="2" t="n">
        <v>45616</v>
      </c>
      <c r="B140" t="inlineStr">
        <is>
          <t>Gaming Mouse</t>
        </is>
      </c>
      <c r="C140" t="inlineStr">
        <is>
          <t>Mobile</t>
        </is>
      </c>
      <c r="D140" t="inlineStr">
        <is>
          <t>North</t>
        </is>
      </c>
      <c r="E140" t="inlineStr">
        <is>
          <t>Emma Davis</t>
        </is>
      </c>
      <c r="F140" t="n">
        <v>20</v>
      </c>
      <c r="G140" t="n">
        <v>76.97</v>
      </c>
      <c r="H140" t="n">
        <v>1539.32</v>
      </c>
      <c r="I140" t="n">
        <v>986.77</v>
      </c>
      <c r="J140" t="n">
        <v>552.55</v>
      </c>
    </row>
    <row r="141">
      <c r="A141" s="2" t="n">
        <v>45617</v>
      </c>
      <c r="B141" t="inlineStr">
        <is>
          <t>Gaming Mouse</t>
        </is>
      </c>
      <c r="C141" t="inlineStr">
        <is>
          <t>Peripherals</t>
        </is>
      </c>
      <c r="D141" t="inlineStr">
        <is>
          <t>Central</t>
        </is>
      </c>
      <c r="E141" t="inlineStr">
        <is>
          <t>Lisa Park</t>
        </is>
      </c>
      <c r="F141" t="n">
        <v>20</v>
      </c>
      <c r="G141" t="n">
        <v>82.76000000000001</v>
      </c>
      <c r="H141" t="n">
        <v>1655.21</v>
      </c>
      <c r="I141" t="n">
        <v>1159.43</v>
      </c>
      <c r="J141" t="n">
        <v>495.78</v>
      </c>
    </row>
    <row r="142">
      <c r="A142" s="2" t="n">
        <v>45619</v>
      </c>
      <c r="B142" t="inlineStr">
        <is>
          <t>Smartphone X</t>
        </is>
      </c>
      <c r="C142" t="inlineStr">
        <is>
          <t>Mobile</t>
        </is>
      </c>
      <c r="D142" t="inlineStr">
        <is>
          <t>East</t>
        </is>
      </c>
      <c r="E142" t="inlineStr">
        <is>
          <t>John Smith</t>
        </is>
      </c>
      <c r="F142" t="n">
        <v>28</v>
      </c>
      <c r="G142" t="n">
        <v>824.5700000000001</v>
      </c>
      <c r="H142" t="n">
        <v>23087.83</v>
      </c>
      <c r="I142" t="n">
        <v>14559.1</v>
      </c>
      <c r="J142" t="n">
        <v>8528.74</v>
      </c>
    </row>
    <row r="143">
      <c r="A143" s="2" t="n">
        <v>45622</v>
      </c>
      <c r="B143" t="inlineStr">
        <is>
          <t>Webcam HD</t>
        </is>
      </c>
      <c r="C143" t="inlineStr">
        <is>
          <t>Mobile</t>
        </is>
      </c>
      <c r="D143" t="inlineStr">
        <is>
          <t>South</t>
        </is>
      </c>
      <c r="E143" t="inlineStr">
        <is>
          <t>Sarah Lee</t>
        </is>
      </c>
      <c r="F143" t="n">
        <v>24</v>
      </c>
      <c r="G143" t="n">
        <v>115.99</v>
      </c>
      <c r="H143" t="n">
        <v>2783.81</v>
      </c>
      <c r="I143" t="n">
        <v>1903.84</v>
      </c>
      <c r="J143" t="n">
        <v>879.97</v>
      </c>
    </row>
    <row r="144">
      <c r="A144" s="2" t="n">
        <v>45622</v>
      </c>
      <c r="B144" t="inlineStr">
        <is>
          <t>Gaming Mouse</t>
        </is>
      </c>
      <c r="C144" t="inlineStr">
        <is>
          <t>Electronics</t>
        </is>
      </c>
      <c r="D144" t="inlineStr">
        <is>
          <t>South</t>
        </is>
      </c>
      <c r="E144" t="inlineStr">
        <is>
          <t>John Smith</t>
        </is>
      </c>
      <c r="F144" t="n">
        <v>27</v>
      </c>
      <c r="G144" t="n">
        <v>79.68000000000001</v>
      </c>
      <c r="H144" t="n">
        <v>2151.31</v>
      </c>
      <c r="I144" t="n">
        <v>1453.21</v>
      </c>
      <c r="J144" t="n">
        <v>698.1</v>
      </c>
    </row>
    <row r="145">
      <c r="A145" s="2" t="n">
        <v>45622</v>
      </c>
      <c r="B145" t="inlineStr">
        <is>
          <t>USB-C Hub</t>
        </is>
      </c>
      <c r="C145" t="inlineStr">
        <is>
          <t>Electronics</t>
        </is>
      </c>
      <c r="D145" t="inlineStr">
        <is>
          <t>South</t>
        </is>
      </c>
      <c r="E145" t="inlineStr">
        <is>
          <t>Tom Brown</t>
        </is>
      </c>
      <c r="F145" t="n">
        <v>19</v>
      </c>
      <c r="G145" t="n">
        <v>58.26</v>
      </c>
      <c r="H145" t="n">
        <v>1106.85</v>
      </c>
      <c r="I145" t="n">
        <v>672.36</v>
      </c>
      <c r="J145" t="n">
        <v>434.5</v>
      </c>
    </row>
    <row r="146">
      <c r="A146" s="2" t="n">
        <v>45623</v>
      </c>
      <c r="B146" t="inlineStr">
        <is>
          <t>Monitor 4K</t>
        </is>
      </c>
      <c r="C146" t="inlineStr">
        <is>
          <t>Accessories</t>
        </is>
      </c>
      <c r="D146" t="inlineStr">
        <is>
          <t>Central</t>
        </is>
      </c>
      <c r="E146" t="inlineStr">
        <is>
          <t>Lisa Park</t>
        </is>
      </c>
      <c r="F146" t="n">
        <v>27</v>
      </c>
      <c r="G146" t="n">
        <v>362.49</v>
      </c>
      <c r="H146" t="n">
        <v>9787.360000000001</v>
      </c>
      <c r="I146" t="n">
        <v>5896.42</v>
      </c>
      <c r="J146" t="n">
        <v>3890.94</v>
      </c>
    </row>
    <row r="147">
      <c r="A147" s="2" t="n">
        <v>45623</v>
      </c>
      <c r="B147" t="inlineStr">
        <is>
          <t>Smartphone X</t>
        </is>
      </c>
      <c r="C147" t="inlineStr">
        <is>
          <t>Storage</t>
        </is>
      </c>
      <c r="D147" t="inlineStr">
        <is>
          <t>West</t>
        </is>
      </c>
      <c r="E147" t="inlineStr">
        <is>
          <t>Lisa Park</t>
        </is>
      </c>
      <c r="F147" t="n">
        <v>28</v>
      </c>
      <c r="G147" t="n">
        <v>951.95</v>
      </c>
      <c r="H147" t="n">
        <v>26654.62</v>
      </c>
      <c r="I147" t="n">
        <v>17417.56</v>
      </c>
      <c r="J147" t="n">
        <v>9237.059999999999</v>
      </c>
    </row>
    <row r="148">
      <c r="A148" s="2" t="n">
        <v>45626</v>
      </c>
      <c r="B148" t="inlineStr">
        <is>
          <t>Smartphone X</t>
        </is>
      </c>
      <c r="C148" t="inlineStr">
        <is>
          <t>Peripherals</t>
        </is>
      </c>
      <c r="D148" t="inlineStr">
        <is>
          <t>North</t>
        </is>
      </c>
      <c r="E148" t="inlineStr">
        <is>
          <t>Sarah Lee</t>
        </is>
      </c>
      <c r="F148" t="n">
        <v>19</v>
      </c>
      <c r="G148" t="n">
        <v>828.14</v>
      </c>
      <c r="H148" t="n">
        <v>15734.66</v>
      </c>
      <c r="I148" t="n">
        <v>8711.41</v>
      </c>
      <c r="J148" t="n">
        <v>7023.25</v>
      </c>
    </row>
    <row r="149">
      <c r="A149" s="2" t="n">
        <v>45627</v>
      </c>
      <c r="B149" t="inlineStr">
        <is>
          <t>USB-C Hub</t>
        </is>
      </c>
      <c r="C149" t="inlineStr">
        <is>
          <t>Electronics</t>
        </is>
      </c>
      <c r="D149" t="inlineStr">
        <is>
          <t>Central</t>
        </is>
      </c>
      <c r="E149" t="inlineStr">
        <is>
          <t>Mike Chen</t>
        </is>
      </c>
      <c r="F149" t="n">
        <v>22</v>
      </c>
      <c r="G149" t="n">
        <v>56.24</v>
      </c>
      <c r="H149" t="n">
        <v>1237.25</v>
      </c>
      <c r="I149" t="n">
        <v>751.04</v>
      </c>
      <c r="J149" t="n">
        <v>486.22</v>
      </c>
    </row>
    <row r="150">
      <c r="A150" s="2" t="n">
        <v>45628</v>
      </c>
      <c r="B150" t="inlineStr">
        <is>
          <t>Wireless Keyboard</t>
        </is>
      </c>
      <c r="C150" t="inlineStr">
        <is>
          <t>Accessories</t>
        </is>
      </c>
      <c r="D150" t="inlineStr">
        <is>
          <t>North</t>
        </is>
      </c>
      <c r="E150" t="inlineStr">
        <is>
          <t>Tom Brown</t>
        </is>
      </c>
      <c r="F150" t="n">
        <v>22</v>
      </c>
      <c r="G150" t="n">
        <v>101.81</v>
      </c>
      <c r="H150" t="n">
        <v>2239.73</v>
      </c>
      <c r="I150" t="n">
        <v>1351.93</v>
      </c>
      <c r="J150" t="n">
        <v>887.8</v>
      </c>
    </row>
    <row r="151">
      <c r="A151" s="2" t="n">
        <v>45631</v>
      </c>
      <c r="B151" t="inlineStr">
        <is>
          <t>USB-C Hub</t>
        </is>
      </c>
      <c r="C151" t="inlineStr">
        <is>
          <t>Storage</t>
        </is>
      </c>
      <c r="D151" t="inlineStr">
        <is>
          <t>South</t>
        </is>
      </c>
      <c r="E151" t="inlineStr">
        <is>
          <t>Sarah Lee</t>
        </is>
      </c>
      <c r="F151" t="n">
        <v>28</v>
      </c>
      <c r="G151" t="n">
        <v>55.22</v>
      </c>
      <c r="H151" t="n">
        <v>1546.09</v>
      </c>
      <c r="I151" t="n">
        <v>1055.52</v>
      </c>
      <c r="J151" t="n">
        <v>490.58</v>
      </c>
    </row>
    <row r="152">
      <c r="A152" s="2" t="n">
        <v>45634</v>
      </c>
      <c r="B152" t="inlineStr">
        <is>
          <t>Gaming Mouse</t>
        </is>
      </c>
      <c r="C152" t="inlineStr">
        <is>
          <t>Mobile</t>
        </is>
      </c>
      <c r="D152" t="inlineStr">
        <is>
          <t>North</t>
        </is>
      </c>
      <c r="E152" t="inlineStr">
        <is>
          <t>Emma Davis</t>
        </is>
      </c>
      <c r="F152" t="n">
        <v>23</v>
      </c>
      <c r="G152" t="n">
        <v>85.62</v>
      </c>
      <c r="H152" t="n">
        <v>1969.22</v>
      </c>
      <c r="I152" t="n">
        <v>1207.89</v>
      </c>
      <c r="J152" t="n">
        <v>761.33</v>
      </c>
    </row>
    <row r="153">
      <c r="A153" s="2" t="n">
        <v>45634</v>
      </c>
      <c r="B153" t="inlineStr">
        <is>
          <t>Laptop Pro</t>
        </is>
      </c>
      <c r="C153" t="inlineStr">
        <is>
          <t>Peripherals</t>
        </is>
      </c>
      <c r="D153" t="inlineStr">
        <is>
          <t>East</t>
        </is>
      </c>
      <c r="E153" t="inlineStr">
        <is>
          <t>Emma Davis</t>
        </is>
      </c>
      <c r="F153" t="n">
        <v>26</v>
      </c>
      <c r="G153" t="n">
        <v>1094.05</v>
      </c>
      <c r="H153" t="n">
        <v>28445.36</v>
      </c>
      <c r="I153" t="n">
        <v>17546.45</v>
      </c>
      <c r="J153" t="n">
        <v>10898.91</v>
      </c>
    </row>
    <row r="154">
      <c r="A154" s="2" t="n">
        <v>45636</v>
      </c>
      <c r="B154" t="inlineStr">
        <is>
          <t>Webcam HD</t>
        </is>
      </c>
      <c r="C154" t="inlineStr">
        <is>
          <t>Mobile</t>
        </is>
      </c>
      <c r="D154" t="inlineStr">
        <is>
          <t>West</t>
        </is>
      </c>
      <c r="E154" t="inlineStr">
        <is>
          <t>Mike Chen</t>
        </is>
      </c>
      <c r="F154" t="n">
        <v>30</v>
      </c>
      <c r="G154" t="n">
        <v>116.15</v>
      </c>
      <c r="H154" t="n">
        <v>3484.4</v>
      </c>
      <c r="I154" t="n">
        <v>2484.26</v>
      </c>
      <c r="J154" t="n">
        <v>1000.15</v>
      </c>
    </row>
    <row r="155">
      <c r="A155" s="2" t="n">
        <v>45638</v>
      </c>
      <c r="B155" t="inlineStr">
        <is>
          <t>Smartphone X</t>
        </is>
      </c>
      <c r="C155" t="inlineStr">
        <is>
          <t>Peripherals</t>
        </is>
      </c>
      <c r="D155" t="inlineStr">
        <is>
          <t>South</t>
        </is>
      </c>
      <c r="E155" t="inlineStr">
        <is>
          <t>Sarah Lee</t>
        </is>
      </c>
      <c r="F155" t="n">
        <v>21</v>
      </c>
      <c r="G155" t="n">
        <v>824.9</v>
      </c>
      <c r="H155" t="n">
        <v>17322.98</v>
      </c>
      <c r="I155" t="n">
        <v>11617.32</v>
      </c>
      <c r="J155" t="n">
        <v>5705.66</v>
      </c>
    </row>
    <row r="156">
      <c r="A156" s="2" t="n">
        <v>45638</v>
      </c>
      <c r="B156" t="inlineStr">
        <is>
          <t>Gaming Mouse</t>
        </is>
      </c>
      <c r="C156" t="inlineStr">
        <is>
          <t>Storage</t>
        </is>
      </c>
      <c r="D156" t="inlineStr">
        <is>
          <t>North</t>
        </is>
      </c>
      <c r="E156" t="inlineStr">
        <is>
          <t>Emma Davis</t>
        </is>
      </c>
      <c r="F156" t="n">
        <v>24</v>
      </c>
      <c r="G156" t="n">
        <v>73.05</v>
      </c>
      <c r="H156" t="n">
        <v>1753.1</v>
      </c>
      <c r="I156" t="n">
        <v>1074.75</v>
      </c>
      <c r="J156" t="n">
        <v>678.35</v>
      </c>
    </row>
    <row r="157">
      <c r="A157" s="2" t="n">
        <v>45638</v>
      </c>
      <c r="B157" t="inlineStr">
        <is>
          <t>Tablet Air</t>
        </is>
      </c>
      <c r="C157" t="inlineStr">
        <is>
          <t>Storage</t>
        </is>
      </c>
      <c r="D157" t="inlineStr">
        <is>
          <t>South</t>
        </is>
      </c>
      <c r="E157" t="inlineStr">
        <is>
          <t>Tom Brown</t>
        </is>
      </c>
      <c r="F157" t="n">
        <v>29</v>
      </c>
      <c r="G157" t="n">
        <v>559.4</v>
      </c>
      <c r="H157" t="n">
        <v>16222.47</v>
      </c>
      <c r="I157" t="n">
        <v>11837.71</v>
      </c>
      <c r="J157" t="n">
        <v>4384.76</v>
      </c>
    </row>
    <row r="158">
      <c r="A158" s="2" t="n">
        <v>45638</v>
      </c>
      <c r="B158" t="inlineStr">
        <is>
          <t>USB-C Hub</t>
        </is>
      </c>
      <c r="C158" t="inlineStr">
        <is>
          <t>Accessories</t>
        </is>
      </c>
      <c r="D158" t="inlineStr">
        <is>
          <t>North</t>
        </is>
      </c>
      <c r="E158" t="inlineStr">
        <is>
          <t>John Smith</t>
        </is>
      </c>
      <c r="F158" t="n">
        <v>28</v>
      </c>
      <c r="G158" t="n">
        <v>56.34</v>
      </c>
      <c r="H158" t="n">
        <v>1577.6</v>
      </c>
      <c r="I158" t="n">
        <v>1095.63</v>
      </c>
      <c r="J158" t="n">
        <v>481.97</v>
      </c>
    </row>
    <row r="159">
      <c r="A159" s="2" t="n">
        <v>45639</v>
      </c>
      <c r="B159" t="inlineStr">
        <is>
          <t>Laptop Pro</t>
        </is>
      </c>
      <c r="C159" t="inlineStr">
        <is>
          <t>Storage</t>
        </is>
      </c>
      <c r="D159" t="inlineStr">
        <is>
          <t>East</t>
        </is>
      </c>
      <c r="E159" t="inlineStr">
        <is>
          <t>Tom Brown</t>
        </is>
      </c>
      <c r="F159" t="n">
        <v>28</v>
      </c>
      <c r="G159" t="n">
        <v>1274.82</v>
      </c>
      <c r="H159" t="n">
        <v>35695.09</v>
      </c>
      <c r="I159" t="n">
        <v>24318.91</v>
      </c>
      <c r="J159" t="n">
        <v>11376.18</v>
      </c>
    </row>
    <row r="160">
      <c r="A160" s="2" t="n">
        <v>45640</v>
      </c>
      <c r="B160" t="inlineStr">
        <is>
          <t>Noise Headphones</t>
        </is>
      </c>
      <c r="C160" t="inlineStr">
        <is>
          <t>Storage</t>
        </is>
      </c>
      <c r="D160" t="inlineStr">
        <is>
          <t>South</t>
        </is>
      </c>
      <c r="E160" t="inlineStr">
        <is>
          <t>James Wilson</t>
        </is>
      </c>
      <c r="F160" t="n">
        <v>19</v>
      </c>
      <c r="G160" t="n">
        <v>250.26</v>
      </c>
      <c r="H160" t="n">
        <v>4754.99</v>
      </c>
      <c r="I160" t="n">
        <v>3401.2</v>
      </c>
      <c r="J160" t="n">
        <v>1353.79</v>
      </c>
    </row>
    <row r="161">
      <c r="A161" s="2" t="n">
        <v>45640</v>
      </c>
      <c r="B161" t="inlineStr">
        <is>
          <t>Gaming Mouse</t>
        </is>
      </c>
      <c r="C161" t="inlineStr">
        <is>
          <t>Electronics</t>
        </is>
      </c>
      <c r="D161" t="inlineStr">
        <is>
          <t>South</t>
        </is>
      </c>
      <c r="E161" t="inlineStr">
        <is>
          <t>James Wilson</t>
        </is>
      </c>
      <c r="F161" t="n">
        <v>27</v>
      </c>
      <c r="G161" t="n">
        <v>87.51000000000001</v>
      </c>
      <c r="H161" t="n">
        <v>2362.86</v>
      </c>
      <c r="I161" t="n">
        <v>1665.88</v>
      </c>
      <c r="J161" t="n">
        <v>696.98</v>
      </c>
    </row>
    <row r="162">
      <c r="A162" s="2" t="n">
        <v>45645</v>
      </c>
      <c r="B162" t="inlineStr">
        <is>
          <t>Tablet Air</t>
        </is>
      </c>
      <c r="C162" t="inlineStr">
        <is>
          <t>Peripherals</t>
        </is>
      </c>
      <c r="D162" t="inlineStr">
        <is>
          <t>South</t>
        </is>
      </c>
      <c r="E162" t="inlineStr">
        <is>
          <t>James Wilson</t>
        </is>
      </c>
      <c r="F162" t="n">
        <v>28</v>
      </c>
      <c r="G162" t="n">
        <v>650.33</v>
      </c>
      <c r="H162" t="n">
        <v>18209.16</v>
      </c>
      <c r="I162" t="n">
        <v>11824.89</v>
      </c>
      <c r="J162" t="n">
        <v>6384.26</v>
      </c>
    </row>
    <row r="163">
      <c r="A163" s="2" t="n">
        <v>45648</v>
      </c>
      <c r="B163" t="inlineStr">
        <is>
          <t>Smartphone X</t>
        </is>
      </c>
      <c r="C163" t="inlineStr">
        <is>
          <t>Accessories</t>
        </is>
      </c>
      <c r="D163" t="inlineStr">
        <is>
          <t>East</t>
        </is>
      </c>
      <c r="E163" t="inlineStr">
        <is>
          <t>John Smith</t>
        </is>
      </c>
      <c r="F163" t="n">
        <v>29</v>
      </c>
      <c r="G163" t="n">
        <v>961.95</v>
      </c>
      <c r="H163" t="n">
        <v>27896.57</v>
      </c>
      <c r="I163" t="n">
        <v>19838.2</v>
      </c>
      <c r="J163" t="n">
        <v>8058.37</v>
      </c>
    </row>
    <row r="164">
      <c r="A164" s="2" t="n">
        <v>45648</v>
      </c>
      <c r="B164" t="inlineStr">
        <is>
          <t>Laptop Pro</t>
        </is>
      </c>
      <c r="C164" t="inlineStr">
        <is>
          <t>Peripherals</t>
        </is>
      </c>
      <c r="D164" t="inlineStr">
        <is>
          <t>East</t>
        </is>
      </c>
      <c r="E164" t="inlineStr">
        <is>
          <t>Tom Brown</t>
        </is>
      </c>
      <c r="F164" t="n">
        <v>39</v>
      </c>
      <c r="G164" t="n">
        <v>1126.99</v>
      </c>
      <c r="H164" t="n">
        <v>43952.48</v>
      </c>
      <c r="I164" t="n">
        <v>24240.35</v>
      </c>
      <c r="J164" t="n">
        <v>19712.14</v>
      </c>
    </row>
    <row r="165">
      <c r="A165" s="2" t="n">
        <v>45648</v>
      </c>
      <c r="B165" t="inlineStr">
        <is>
          <t>Portable SSD</t>
        </is>
      </c>
      <c r="C165" t="inlineStr">
        <is>
          <t>Peripherals</t>
        </is>
      </c>
      <c r="D165" t="inlineStr">
        <is>
          <t>East</t>
        </is>
      </c>
      <c r="E165" t="inlineStr">
        <is>
          <t>Emma Davis</t>
        </is>
      </c>
      <c r="F165" t="n">
        <v>27</v>
      </c>
      <c r="G165" t="n">
        <v>154.76</v>
      </c>
      <c r="H165" t="n">
        <v>4178.54</v>
      </c>
      <c r="I165" t="n">
        <v>2434.36</v>
      </c>
      <c r="J165" t="n">
        <v>1744.18</v>
      </c>
    </row>
    <row r="166">
      <c r="A166" s="2" t="n">
        <v>45649</v>
      </c>
      <c r="B166" t="inlineStr">
        <is>
          <t>Wireless Keyboard</t>
        </is>
      </c>
      <c r="C166" t="inlineStr">
        <is>
          <t>Accessories</t>
        </is>
      </c>
      <c r="D166" t="inlineStr">
        <is>
          <t>West</t>
        </is>
      </c>
      <c r="E166" t="inlineStr">
        <is>
          <t>John Smith</t>
        </is>
      </c>
      <c r="F166" t="n">
        <v>28</v>
      </c>
      <c r="G166" t="n">
        <v>99.3</v>
      </c>
      <c r="H166" t="n">
        <v>2780.52</v>
      </c>
      <c r="I166" t="n">
        <v>1562.73</v>
      </c>
      <c r="J166" t="n">
        <v>1217.79</v>
      </c>
    </row>
    <row r="167">
      <c r="A167" s="2" t="n">
        <v>45652</v>
      </c>
      <c r="B167" t="inlineStr">
        <is>
          <t>USB-C Hub</t>
        </is>
      </c>
      <c r="C167" t="inlineStr">
        <is>
          <t>Mobile</t>
        </is>
      </c>
      <c r="D167" t="inlineStr">
        <is>
          <t>West</t>
        </is>
      </c>
      <c r="E167" t="inlineStr">
        <is>
          <t>James Wilson</t>
        </is>
      </c>
      <c r="F167" t="n">
        <v>27</v>
      </c>
      <c r="G167" t="n">
        <v>62.71</v>
      </c>
      <c r="H167" t="n">
        <v>1693.25</v>
      </c>
      <c r="I167" t="n">
        <v>1261.76</v>
      </c>
      <c r="J167" t="n">
        <v>431.49</v>
      </c>
    </row>
    <row r="168">
      <c r="A168" s="2" t="n">
        <v>45654</v>
      </c>
      <c r="B168" t="inlineStr">
        <is>
          <t>Smartphone X</t>
        </is>
      </c>
      <c r="C168" t="inlineStr">
        <is>
          <t>Storage</t>
        </is>
      </c>
      <c r="D168" t="inlineStr">
        <is>
          <t>North</t>
        </is>
      </c>
      <c r="E168" t="inlineStr">
        <is>
          <t>Anna Kim</t>
        </is>
      </c>
      <c r="F168" t="n">
        <v>23</v>
      </c>
      <c r="G168" t="n">
        <v>973.13</v>
      </c>
      <c r="H168" t="n">
        <v>22381.89</v>
      </c>
      <c r="I168" t="n">
        <v>13427.1</v>
      </c>
      <c r="J168" t="n">
        <v>8954.790000000001</v>
      </c>
    </row>
    <row r="169">
      <c r="A169" s="2" t="n">
        <v>45658</v>
      </c>
      <c r="B169" t="inlineStr">
        <is>
          <t>USB-C Hub</t>
        </is>
      </c>
      <c r="C169" t="inlineStr">
        <is>
          <t>Electronics</t>
        </is>
      </c>
      <c r="D169" t="inlineStr">
        <is>
          <t>Central</t>
        </is>
      </c>
      <c r="E169" t="inlineStr">
        <is>
          <t>Mike Chen</t>
        </is>
      </c>
      <c r="F169" t="n">
        <v>28</v>
      </c>
      <c r="G169" t="n">
        <v>63.94</v>
      </c>
      <c r="H169" t="n">
        <v>1790.46</v>
      </c>
      <c r="I169" t="n">
        <v>1112.5</v>
      </c>
      <c r="J169" t="n">
        <v>677.95</v>
      </c>
    </row>
    <row r="170">
      <c r="A170" s="2" t="n">
        <v>45659</v>
      </c>
      <c r="B170" t="inlineStr">
        <is>
          <t>Smartphone X</t>
        </is>
      </c>
      <c r="C170" t="inlineStr">
        <is>
          <t>Storage</t>
        </is>
      </c>
      <c r="D170" t="inlineStr">
        <is>
          <t>Central</t>
        </is>
      </c>
      <c r="E170" t="inlineStr">
        <is>
          <t>John Smith</t>
        </is>
      </c>
      <c r="F170" t="n">
        <v>32</v>
      </c>
      <c r="G170" t="n">
        <v>833.85</v>
      </c>
      <c r="H170" t="n">
        <v>26683.34</v>
      </c>
      <c r="I170" t="n">
        <v>19276.12</v>
      </c>
      <c r="J170" t="n">
        <v>7407.22</v>
      </c>
    </row>
    <row r="171">
      <c r="A171" s="2" t="n">
        <v>45659</v>
      </c>
      <c r="B171" t="inlineStr">
        <is>
          <t>Noise Headphones</t>
        </is>
      </c>
      <c r="C171" t="inlineStr">
        <is>
          <t>Mobile</t>
        </is>
      </c>
      <c r="D171" t="inlineStr">
        <is>
          <t>Central</t>
        </is>
      </c>
      <c r="E171" t="inlineStr">
        <is>
          <t>Lisa Park</t>
        </is>
      </c>
      <c r="F171" t="n">
        <v>38</v>
      </c>
      <c r="G171" t="n">
        <v>240.97</v>
      </c>
      <c r="H171" t="n">
        <v>9156.700000000001</v>
      </c>
      <c r="I171" t="n">
        <v>6776.07</v>
      </c>
      <c r="J171" t="n">
        <v>2380.63</v>
      </c>
    </row>
    <row r="172">
      <c r="A172" s="2" t="n">
        <v>45663</v>
      </c>
      <c r="B172" t="inlineStr">
        <is>
          <t>Smartphone X</t>
        </is>
      </c>
      <c r="C172" t="inlineStr">
        <is>
          <t>Peripherals</t>
        </is>
      </c>
      <c r="D172" t="inlineStr">
        <is>
          <t>West</t>
        </is>
      </c>
      <c r="E172" t="inlineStr">
        <is>
          <t>Emma Davis</t>
        </is>
      </c>
      <c r="F172" t="n">
        <v>26</v>
      </c>
      <c r="G172" t="n">
        <v>825.42</v>
      </c>
      <c r="H172" t="n">
        <v>21460.88</v>
      </c>
      <c r="I172" t="n">
        <v>15641.51</v>
      </c>
      <c r="J172" t="n">
        <v>5819.37</v>
      </c>
    </row>
    <row r="173">
      <c r="A173" s="2" t="n">
        <v>45665</v>
      </c>
      <c r="B173" t="inlineStr">
        <is>
          <t>Portable SSD</t>
        </is>
      </c>
      <c r="C173" t="inlineStr">
        <is>
          <t>Peripherals</t>
        </is>
      </c>
      <c r="D173" t="inlineStr">
        <is>
          <t>Central</t>
        </is>
      </c>
      <c r="E173" t="inlineStr">
        <is>
          <t>James Wilson</t>
        </is>
      </c>
      <c r="F173" t="n">
        <v>32</v>
      </c>
      <c r="G173" t="n">
        <v>145.68</v>
      </c>
      <c r="H173" t="n">
        <v>4661.85</v>
      </c>
      <c r="I173" t="n">
        <v>3483.82</v>
      </c>
      <c r="J173" t="n">
        <v>1178.04</v>
      </c>
    </row>
    <row r="174">
      <c r="A174" s="2" t="n">
        <v>45665</v>
      </c>
      <c r="B174" t="inlineStr">
        <is>
          <t>Monitor 4K</t>
        </is>
      </c>
      <c r="C174" t="inlineStr">
        <is>
          <t>Peripherals</t>
        </is>
      </c>
      <c r="D174" t="inlineStr">
        <is>
          <t>South</t>
        </is>
      </c>
      <c r="E174" t="inlineStr">
        <is>
          <t>John Smith</t>
        </is>
      </c>
      <c r="F174" t="n">
        <v>37</v>
      </c>
      <c r="G174" t="n">
        <v>429.98</v>
      </c>
      <c r="H174" t="n">
        <v>15909.12</v>
      </c>
      <c r="I174" t="n">
        <v>10433</v>
      </c>
      <c r="J174" t="n">
        <v>5476.12</v>
      </c>
    </row>
    <row r="175">
      <c r="A175" s="2" t="n">
        <v>45667</v>
      </c>
      <c r="B175" t="inlineStr">
        <is>
          <t>Smartphone X</t>
        </is>
      </c>
      <c r="C175" t="inlineStr">
        <is>
          <t>Electronics</t>
        </is>
      </c>
      <c r="D175" t="inlineStr">
        <is>
          <t>North</t>
        </is>
      </c>
      <c r="E175" t="inlineStr">
        <is>
          <t>Tom Brown</t>
        </is>
      </c>
      <c r="F175" t="n">
        <v>28</v>
      </c>
      <c r="G175" t="n">
        <v>813.9299999999999</v>
      </c>
      <c r="H175" t="n">
        <v>22789.99</v>
      </c>
      <c r="I175" t="n">
        <v>15560.05</v>
      </c>
      <c r="J175" t="n">
        <v>7229.94</v>
      </c>
    </row>
    <row r="176">
      <c r="A176" s="2" t="n">
        <v>45668</v>
      </c>
      <c r="B176" t="inlineStr">
        <is>
          <t>Wireless Keyboard</t>
        </is>
      </c>
      <c r="C176" t="inlineStr">
        <is>
          <t>Storage</t>
        </is>
      </c>
      <c r="D176" t="inlineStr">
        <is>
          <t>South</t>
        </is>
      </c>
      <c r="E176" t="inlineStr">
        <is>
          <t>Anna Kim</t>
        </is>
      </c>
      <c r="F176" t="n">
        <v>26</v>
      </c>
      <c r="G176" t="n">
        <v>107.45</v>
      </c>
      <c r="H176" t="n">
        <v>2793.82</v>
      </c>
      <c r="I176" t="n">
        <v>2007.04</v>
      </c>
      <c r="J176" t="n">
        <v>786.78</v>
      </c>
    </row>
    <row r="177">
      <c r="A177" s="2" t="n">
        <v>45672</v>
      </c>
      <c r="B177" t="inlineStr">
        <is>
          <t>Laptop Pro</t>
        </is>
      </c>
      <c r="C177" t="inlineStr">
        <is>
          <t>Accessories</t>
        </is>
      </c>
      <c r="D177" t="inlineStr">
        <is>
          <t>West</t>
        </is>
      </c>
      <c r="E177" t="inlineStr">
        <is>
          <t>Lisa Park</t>
        </is>
      </c>
      <c r="F177" t="n">
        <v>20</v>
      </c>
      <c r="G177" t="n">
        <v>1086.36</v>
      </c>
      <c r="H177" t="n">
        <v>21727.25</v>
      </c>
      <c r="I177" t="n">
        <v>14495.45</v>
      </c>
      <c r="J177" t="n">
        <v>7231.81</v>
      </c>
    </row>
    <row r="178">
      <c r="A178" s="2" t="n">
        <v>45678</v>
      </c>
      <c r="B178" t="inlineStr">
        <is>
          <t>Laptop Pro</t>
        </is>
      </c>
      <c r="C178" t="inlineStr">
        <is>
          <t>Peripherals</t>
        </is>
      </c>
      <c r="D178" t="inlineStr">
        <is>
          <t>West</t>
        </is>
      </c>
      <c r="E178" t="inlineStr">
        <is>
          <t>James Wilson</t>
        </is>
      </c>
      <c r="F178" t="n">
        <v>34</v>
      </c>
      <c r="G178" t="n">
        <v>1265.1</v>
      </c>
      <c r="H178" t="n">
        <v>43013.57</v>
      </c>
      <c r="I178" t="n">
        <v>24294.45</v>
      </c>
      <c r="J178" t="n">
        <v>18719.12</v>
      </c>
    </row>
    <row r="179">
      <c r="A179" s="2" t="n">
        <v>45683</v>
      </c>
      <c r="B179" t="inlineStr">
        <is>
          <t>Noise Headphones</t>
        </is>
      </c>
      <c r="C179" t="inlineStr">
        <is>
          <t>Electronics</t>
        </is>
      </c>
      <c r="D179" t="inlineStr">
        <is>
          <t>East</t>
        </is>
      </c>
      <c r="E179" t="inlineStr">
        <is>
          <t>Anna Kim</t>
        </is>
      </c>
      <c r="F179" t="n">
        <v>32</v>
      </c>
      <c r="G179" t="n">
        <v>263.78</v>
      </c>
      <c r="H179" t="n">
        <v>8440.84</v>
      </c>
      <c r="I179" t="n">
        <v>5407.69</v>
      </c>
      <c r="J179" t="n">
        <v>3033.15</v>
      </c>
    </row>
    <row r="180">
      <c r="A180" s="2" t="n">
        <v>45688</v>
      </c>
      <c r="B180" t="inlineStr">
        <is>
          <t>Wireless Keyboard</t>
        </is>
      </c>
      <c r="C180" t="inlineStr">
        <is>
          <t>Storage</t>
        </is>
      </c>
      <c r="D180" t="inlineStr">
        <is>
          <t>North</t>
        </is>
      </c>
      <c r="E180" t="inlineStr">
        <is>
          <t>Emma Davis</t>
        </is>
      </c>
      <c r="F180" t="n">
        <v>24</v>
      </c>
      <c r="G180" t="n">
        <v>105.1</v>
      </c>
      <c r="H180" t="n">
        <v>2522.47</v>
      </c>
      <c r="I180" t="n">
        <v>1700.3</v>
      </c>
      <c r="J180" t="n">
        <v>822.17</v>
      </c>
    </row>
    <row r="181">
      <c r="A181" s="2" t="n">
        <v>45690</v>
      </c>
      <c r="B181" t="inlineStr">
        <is>
          <t>Gaming Mouse</t>
        </is>
      </c>
      <c r="C181" t="inlineStr">
        <is>
          <t>Mobile</t>
        </is>
      </c>
      <c r="D181" t="inlineStr">
        <is>
          <t>East</t>
        </is>
      </c>
      <c r="E181" t="inlineStr">
        <is>
          <t>Mike Chen</t>
        </is>
      </c>
      <c r="F181" t="n">
        <v>35</v>
      </c>
      <c r="G181" t="n">
        <v>81.91</v>
      </c>
      <c r="H181" t="n">
        <v>2866.91</v>
      </c>
      <c r="I181" t="n">
        <v>1842.56</v>
      </c>
      <c r="J181" t="n">
        <v>1024.35</v>
      </c>
    </row>
    <row r="182">
      <c r="A182" s="2" t="n">
        <v>45690</v>
      </c>
      <c r="B182" t="inlineStr">
        <is>
          <t>Portable SSD</t>
        </is>
      </c>
      <c r="C182" t="inlineStr">
        <is>
          <t>Mobile</t>
        </is>
      </c>
      <c r="D182" t="inlineStr">
        <is>
          <t>South</t>
        </is>
      </c>
      <c r="E182" t="inlineStr">
        <is>
          <t>Emma Davis</t>
        </is>
      </c>
      <c r="F182" t="n">
        <v>35</v>
      </c>
      <c r="G182" t="n">
        <v>151.56</v>
      </c>
      <c r="H182" t="n">
        <v>5304.65</v>
      </c>
      <c r="I182" t="n">
        <v>3380.26</v>
      </c>
      <c r="J182" t="n">
        <v>1924.39</v>
      </c>
    </row>
    <row r="183">
      <c r="A183" s="2" t="n">
        <v>45690</v>
      </c>
      <c r="B183" t="inlineStr">
        <is>
          <t>Monitor 4K</t>
        </is>
      </c>
      <c r="C183" t="inlineStr">
        <is>
          <t>Mobile</t>
        </is>
      </c>
      <c r="D183" t="inlineStr">
        <is>
          <t>East</t>
        </is>
      </c>
      <c r="E183" t="inlineStr">
        <is>
          <t>John Smith</t>
        </is>
      </c>
      <c r="F183" t="n">
        <v>38</v>
      </c>
      <c r="G183" t="n">
        <v>402.82</v>
      </c>
      <c r="H183" t="n">
        <v>15307.34</v>
      </c>
      <c r="I183" t="n">
        <v>9077.870000000001</v>
      </c>
      <c r="J183" t="n">
        <v>6229.47</v>
      </c>
    </row>
    <row r="184">
      <c r="A184" s="2" t="n">
        <v>45691</v>
      </c>
      <c r="B184" t="inlineStr">
        <is>
          <t>Portable SSD</t>
        </is>
      </c>
      <c r="C184" t="inlineStr">
        <is>
          <t>Electronics</t>
        </is>
      </c>
      <c r="D184" t="inlineStr">
        <is>
          <t>East</t>
        </is>
      </c>
      <c r="E184" t="inlineStr">
        <is>
          <t>Anna Kim</t>
        </is>
      </c>
      <c r="F184" t="n">
        <v>26</v>
      </c>
      <c r="G184" t="n">
        <v>144.1</v>
      </c>
      <c r="H184" t="n">
        <v>3746.55</v>
      </c>
      <c r="I184" t="n">
        <v>2136.32</v>
      </c>
      <c r="J184" t="n">
        <v>1610.23</v>
      </c>
    </row>
    <row r="185">
      <c r="A185" s="2" t="n">
        <v>45693</v>
      </c>
      <c r="B185" t="inlineStr">
        <is>
          <t>Portable SSD</t>
        </is>
      </c>
      <c r="C185" t="inlineStr">
        <is>
          <t>Mobile</t>
        </is>
      </c>
      <c r="D185" t="inlineStr">
        <is>
          <t>Central</t>
        </is>
      </c>
      <c r="E185" t="inlineStr">
        <is>
          <t>Tom Brown</t>
        </is>
      </c>
      <c r="F185" t="n">
        <v>27</v>
      </c>
      <c r="G185" t="n">
        <v>138.62</v>
      </c>
      <c r="H185" t="n">
        <v>3742.72</v>
      </c>
      <c r="I185" t="n">
        <v>2403.41</v>
      </c>
      <c r="J185" t="n">
        <v>1339.31</v>
      </c>
    </row>
    <row r="186">
      <c r="A186" s="2" t="n">
        <v>45694</v>
      </c>
      <c r="B186" t="inlineStr">
        <is>
          <t>Noise Headphones</t>
        </is>
      </c>
      <c r="C186" t="inlineStr">
        <is>
          <t>Peripherals</t>
        </is>
      </c>
      <c r="D186" t="inlineStr">
        <is>
          <t>West</t>
        </is>
      </c>
      <c r="E186" t="inlineStr">
        <is>
          <t>Sarah Lee</t>
        </is>
      </c>
      <c r="F186" t="n">
        <v>27</v>
      </c>
      <c r="G186" t="n">
        <v>244.93</v>
      </c>
      <c r="H186" t="n">
        <v>6613.2</v>
      </c>
      <c r="I186" t="n">
        <v>3830.86</v>
      </c>
      <c r="J186" t="n">
        <v>2782.34</v>
      </c>
    </row>
    <row r="187">
      <c r="A187" s="2" t="n">
        <v>45697</v>
      </c>
      <c r="B187" t="inlineStr">
        <is>
          <t>Monitor 4K</t>
        </is>
      </c>
      <c r="C187" t="inlineStr">
        <is>
          <t>Electronics</t>
        </is>
      </c>
      <c r="D187" t="inlineStr">
        <is>
          <t>Central</t>
        </is>
      </c>
      <c r="E187" t="inlineStr">
        <is>
          <t>Mike Chen</t>
        </is>
      </c>
      <c r="F187" t="n">
        <v>34</v>
      </c>
      <c r="G187" t="n">
        <v>430.13</v>
      </c>
      <c r="H187" t="n">
        <v>14624.5</v>
      </c>
      <c r="I187" t="n">
        <v>9223.620000000001</v>
      </c>
      <c r="J187" t="n">
        <v>5400.88</v>
      </c>
    </row>
    <row r="188">
      <c r="A188" s="2" t="n">
        <v>45697</v>
      </c>
      <c r="B188" t="inlineStr">
        <is>
          <t>Wireless Keyboard</t>
        </is>
      </c>
      <c r="C188" t="inlineStr">
        <is>
          <t>Electronics</t>
        </is>
      </c>
      <c r="D188" t="inlineStr">
        <is>
          <t>North</t>
        </is>
      </c>
      <c r="E188" t="inlineStr">
        <is>
          <t>James Wilson</t>
        </is>
      </c>
      <c r="F188" t="n">
        <v>37</v>
      </c>
      <c r="G188" t="n">
        <v>100.19</v>
      </c>
      <c r="H188" t="n">
        <v>3706.97</v>
      </c>
      <c r="I188" t="n">
        <v>2777.78</v>
      </c>
      <c r="J188" t="n">
        <v>929.1900000000001</v>
      </c>
    </row>
    <row r="189">
      <c r="A189" s="2" t="n">
        <v>45697</v>
      </c>
      <c r="B189" t="inlineStr">
        <is>
          <t>Smartphone X</t>
        </is>
      </c>
      <c r="C189" t="inlineStr">
        <is>
          <t>Electronics</t>
        </is>
      </c>
      <c r="D189" t="inlineStr">
        <is>
          <t>Central</t>
        </is>
      </c>
      <c r="E189" t="inlineStr">
        <is>
          <t>Anna Kim</t>
        </is>
      </c>
      <c r="F189" t="n">
        <v>26</v>
      </c>
      <c r="G189" t="n">
        <v>941.03</v>
      </c>
      <c r="H189" t="n">
        <v>24466.76</v>
      </c>
      <c r="I189" t="n">
        <v>15886.07</v>
      </c>
      <c r="J189" t="n">
        <v>8580.68</v>
      </c>
    </row>
    <row r="190">
      <c r="A190" s="2" t="n">
        <v>45698</v>
      </c>
      <c r="B190" t="inlineStr">
        <is>
          <t>Gaming Mouse</t>
        </is>
      </c>
      <c r="C190" t="inlineStr">
        <is>
          <t>Mobile</t>
        </is>
      </c>
      <c r="D190" t="inlineStr">
        <is>
          <t>West</t>
        </is>
      </c>
      <c r="E190" t="inlineStr">
        <is>
          <t>Emma Davis</t>
        </is>
      </c>
      <c r="F190" t="n">
        <v>30</v>
      </c>
      <c r="G190" t="n">
        <v>74.47</v>
      </c>
      <c r="H190" t="n">
        <v>2234.09</v>
      </c>
      <c r="I190" t="n">
        <v>1443.73</v>
      </c>
      <c r="J190" t="n">
        <v>790.36</v>
      </c>
    </row>
    <row r="191">
      <c r="A191" s="2" t="n">
        <v>45700</v>
      </c>
      <c r="B191" t="inlineStr">
        <is>
          <t>Portable SSD</t>
        </is>
      </c>
      <c r="C191" t="inlineStr">
        <is>
          <t>Peripherals</t>
        </is>
      </c>
      <c r="D191" t="inlineStr">
        <is>
          <t>South</t>
        </is>
      </c>
      <c r="E191" t="inlineStr">
        <is>
          <t>Tom Brown</t>
        </is>
      </c>
      <c r="F191" t="n">
        <v>27</v>
      </c>
      <c r="G191" t="n">
        <v>135.55</v>
      </c>
      <c r="H191" t="n">
        <v>3659.9</v>
      </c>
      <c r="I191" t="n">
        <v>2682.19</v>
      </c>
      <c r="J191" t="n">
        <v>977.71</v>
      </c>
    </row>
    <row r="192">
      <c r="A192" s="2" t="n">
        <v>45702</v>
      </c>
      <c r="B192" t="inlineStr">
        <is>
          <t>Smartphone X</t>
        </is>
      </c>
      <c r="C192" t="inlineStr">
        <is>
          <t>Accessories</t>
        </is>
      </c>
      <c r="D192" t="inlineStr">
        <is>
          <t>East</t>
        </is>
      </c>
      <c r="E192" t="inlineStr">
        <is>
          <t>Sarah Lee</t>
        </is>
      </c>
      <c r="F192" t="n">
        <v>29</v>
      </c>
      <c r="G192" t="n">
        <v>966.29</v>
      </c>
      <c r="H192" t="n">
        <v>28022.38</v>
      </c>
      <c r="I192" t="n">
        <v>19487.71</v>
      </c>
      <c r="J192" t="n">
        <v>8534.67</v>
      </c>
    </row>
    <row r="193">
      <c r="A193" s="2" t="n">
        <v>45702</v>
      </c>
      <c r="B193" t="inlineStr">
        <is>
          <t>Gaming Mouse</t>
        </is>
      </c>
      <c r="C193" t="inlineStr">
        <is>
          <t>Storage</t>
        </is>
      </c>
      <c r="D193" t="inlineStr">
        <is>
          <t>North</t>
        </is>
      </c>
      <c r="E193" t="inlineStr">
        <is>
          <t>John Smith</t>
        </is>
      </c>
      <c r="F193" t="n">
        <v>36</v>
      </c>
      <c r="G193" t="n">
        <v>73.81999999999999</v>
      </c>
      <c r="H193" t="n">
        <v>2657.41</v>
      </c>
      <c r="I193" t="n">
        <v>1818.5</v>
      </c>
      <c r="J193" t="n">
        <v>838.91</v>
      </c>
    </row>
    <row r="194">
      <c r="A194" s="2" t="n">
        <v>45703</v>
      </c>
      <c r="B194" t="inlineStr">
        <is>
          <t>Laptop Pro</t>
        </is>
      </c>
      <c r="C194" t="inlineStr">
        <is>
          <t>Peripherals</t>
        </is>
      </c>
      <c r="D194" t="inlineStr">
        <is>
          <t>North</t>
        </is>
      </c>
      <c r="E194" t="inlineStr">
        <is>
          <t>Lisa Park</t>
        </is>
      </c>
      <c r="F194" t="n">
        <v>29</v>
      </c>
      <c r="G194" t="n">
        <v>1134.54</v>
      </c>
      <c r="H194" t="n">
        <v>32901.8</v>
      </c>
      <c r="I194" t="n">
        <v>18577.64</v>
      </c>
      <c r="J194" t="n">
        <v>14324.15</v>
      </c>
    </row>
    <row r="195">
      <c r="A195" s="2" t="n">
        <v>45710</v>
      </c>
      <c r="B195" t="inlineStr">
        <is>
          <t>Noise Headphones</t>
        </is>
      </c>
      <c r="C195" t="inlineStr">
        <is>
          <t>Peripherals</t>
        </is>
      </c>
      <c r="D195" t="inlineStr">
        <is>
          <t>South</t>
        </is>
      </c>
      <c r="E195" t="inlineStr">
        <is>
          <t>Anna Kim</t>
        </is>
      </c>
      <c r="F195" t="n">
        <v>41</v>
      </c>
      <c r="G195" t="n">
        <v>247.53</v>
      </c>
      <c r="H195" t="n">
        <v>10148.62</v>
      </c>
      <c r="I195" t="n">
        <v>5843.9</v>
      </c>
      <c r="J195" t="n">
        <v>4304.72</v>
      </c>
    </row>
    <row r="196">
      <c r="A196" s="2" t="n">
        <v>45711</v>
      </c>
      <c r="B196" t="inlineStr">
        <is>
          <t>Monitor 4K</t>
        </is>
      </c>
      <c r="C196" t="inlineStr">
        <is>
          <t>Peripherals</t>
        </is>
      </c>
      <c r="D196" t="inlineStr">
        <is>
          <t>South</t>
        </is>
      </c>
      <c r="E196" t="inlineStr">
        <is>
          <t>James Wilson</t>
        </is>
      </c>
      <c r="F196" t="n">
        <v>27</v>
      </c>
      <c r="G196" t="n">
        <v>430.19</v>
      </c>
      <c r="H196" t="n">
        <v>11615.13</v>
      </c>
      <c r="I196" t="n">
        <v>8109.14</v>
      </c>
      <c r="J196" t="n">
        <v>3505.98</v>
      </c>
    </row>
    <row r="197">
      <c r="A197" s="2" t="n">
        <v>45714</v>
      </c>
      <c r="B197" t="inlineStr">
        <is>
          <t>Smartphone X</t>
        </is>
      </c>
      <c r="C197" t="inlineStr">
        <is>
          <t>Storage</t>
        </is>
      </c>
      <c r="D197" t="inlineStr">
        <is>
          <t>South</t>
        </is>
      </c>
      <c r="E197" t="inlineStr">
        <is>
          <t>Emma Davis</t>
        </is>
      </c>
      <c r="F197" t="n">
        <v>41</v>
      </c>
      <c r="G197" t="n">
        <v>975.41</v>
      </c>
      <c r="H197" t="n">
        <v>39991.68</v>
      </c>
      <c r="I197" t="n">
        <v>24012.93</v>
      </c>
      <c r="J197" t="n">
        <v>15978.75</v>
      </c>
    </row>
    <row r="198">
      <c r="A198" s="2" t="n">
        <v>45715</v>
      </c>
      <c r="B198" t="inlineStr">
        <is>
          <t>Smartphone X</t>
        </is>
      </c>
      <c r="C198" t="inlineStr">
        <is>
          <t>Mobile</t>
        </is>
      </c>
      <c r="D198" t="inlineStr">
        <is>
          <t>South</t>
        </is>
      </c>
      <c r="E198" t="inlineStr">
        <is>
          <t>John Smith</t>
        </is>
      </c>
      <c r="F198" t="n">
        <v>28</v>
      </c>
      <c r="G198" t="n">
        <v>920.7</v>
      </c>
      <c r="H198" t="n">
        <v>25779.67</v>
      </c>
      <c r="I198" t="n">
        <v>18172.78</v>
      </c>
      <c r="J198" t="n">
        <v>7606.89</v>
      </c>
    </row>
    <row r="199">
      <c r="A199" s="2" t="n">
        <v>45715</v>
      </c>
      <c r="B199" t="inlineStr">
        <is>
          <t>Webcam HD</t>
        </is>
      </c>
      <c r="C199" t="inlineStr">
        <is>
          <t>Mobile</t>
        </is>
      </c>
      <c r="D199" t="inlineStr">
        <is>
          <t>West</t>
        </is>
      </c>
      <c r="E199" t="inlineStr">
        <is>
          <t>Sarah Lee</t>
        </is>
      </c>
      <c r="F199" t="n">
        <v>29</v>
      </c>
      <c r="G199" t="n">
        <v>108.47</v>
      </c>
      <c r="H199" t="n">
        <v>3145.72</v>
      </c>
      <c r="I199" t="n">
        <v>1795.64</v>
      </c>
      <c r="J199" t="n">
        <v>1350.07</v>
      </c>
    </row>
    <row r="200">
      <c r="A200" s="2" t="n">
        <v>45716</v>
      </c>
      <c r="B200" t="inlineStr">
        <is>
          <t>Wireless Keyboard</t>
        </is>
      </c>
      <c r="C200" t="inlineStr">
        <is>
          <t>Electronics</t>
        </is>
      </c>
      <c r="D200" t="inlineStr">
        <is>
          <t>North</t>
        </is>
      </c>
      <c r="E200" t="inlineStr">
        <is>
          <t>Mike Chen</t>
        </is>
      </c>
      <c r="F200" t="n">
        <v>32</v>
      </c>
      <c r="G200" t="n">
        <v>98.78</v>
      </c>
      <c r="H200" t="n">
        <v>3161.05</v>
      </c>
      <c r="I200" t="n">
        <v>1976.88</v>
      </c>
      <c r="J200" t="n">
        <v>1184.16</v>
      </c>
    </row>
    <row r="201">
      <c r="A201" s="2" t="n">
        <v>45717</v>
      </c>
      <c r="B201" t="inlineStr">
        <is>
          <t>Laptop Pro</t>
        </is>
      </c>
      <c r="C201" t="inlineStr">
        <is>
          <t>Accessories</t>
        </is>
      </c>
      <c r="D201" t="inlineStr">
        <is>
          <t>East</t>
        </is>
      </c>
      <c r="E201" t="inlineStr">
        <is>
          <t>James Wilson</t>
        </is>
      </c>
      <c r="F201" t="n">
        <v>32</v>
      </c>
      <c r="G201" t="n">
        <v>1118.58</v>
      </c>
      <c r="H201" t="n">
        <v>35794.64</v>
      </c>
      <c r="I201" t="n">
        <v>25542.82</v>
      </c>
      <c r="J201" t="n">
        <v>10251.82</v>
      </c>
    </row>
    <row r="202">
      <c r="A202" s="2" t="n">
        <v>45719</v>
      </c>
      <c r="B202" t="inlineStr">
        <is>
          <t>Smartphone X</t>
        </is>
      </c>
      <c r="C202" t="inlineStr">
        <is>
          <t>Electronics</t>
        </is>
      </c>
      <c r="D202" t="inlineStr">
        <is>
          <t>South</t>
        </is>
      </c>
      <c r="E202" t="inlineStr">
        <is>
          <t>Anna Kim</t>
        </is>
      </c>
      <c r="F202" t="n">
        <v>32</v>
      </c>
      <c r="G202" t="n">
        <v>829.91</v>
      </c>
      <c r="H202" t="n">
        <v>26557.24</v>
      </c>
      <c r="I202" t="n">
        <v>19102.37</v>
      </c>
      <c r="J202" t="n">
        <v>7454.87</v>
      </c>
    </row>
    <row r="203">
      <c r="A203" s="2" t="n">
        <v>45720</v>
      </c>
      <c r="B203" t="inlineStr">
        <is>
          <t>Tablet Air</t>
        </is>
      </c>
      <c r="C203" t="inlineStr">
        <is>
          <t>Accessories</t>
        </is>
      </c>
      <c r="D203" t="inlineStr">
        <is>
          <t>East</t>
        </is>
      </c>
      <c r="E203" t="inlineStr">
        <is>
          <t>John Smith</t>
        </is>
      </c>
      <c r="F203" t="n">
        <v>40</v>
      </c>
      <c r="G203" t="n">
        <v>540.66</v>
      </c>
      <c r="H203" t="n">
        <v>21626.51</v>
      </c>
      <c r="I203" t="n">
        <v>15421.69</v>
      </c>
      <c r="J203" t="n">
        <v>6204.81</v>
      </c>
    </row>
    <row r="204">
      <c r="A204" s="2" t="n">
        <v>45722</v>
      </c>
      <c r="B204" t="inlineStr">
        <is>
          <t>USB-C Hub</t>
        </is>
      </c>
      <c r="C204" t="inlineStr">
        <is>
          <t>Mobile</t>
        </is>
      </c>
      <c r="D204" t="inlineStr">
        <is>
          <t>South</t>
        </is>
      </c>
      <c r="E204" t="inlineStr">
        <is>
          <t>Lisa Park</t>
        </is>
      </c>
      <c r="F204" t="n">
        <v>37</v>
      </c>
      <c r="G204" t="n">
        <v>54.62</v>
      </c>
      <c r="H204" t="n">
        <v>2020.95</v>
      </c>
      <c r="I204" t="n">
        <v>1326.29</v>
      </c>
      <c r="J204" t="n">
        <v>694.66</v>
      </c>
    </row>
    <row r="205">
      <c r="A205" s="2" t="n">
        <v>45724</v>
      </c>
      <c r="B205" t="inlineStr">
        <is>
          <t>Laptop Pro</t>
        </is>
      </c>
      <c r="C205" t="inlineStr">
        <is>
          <t>Electronics</t>
        </is>
      </c>
      <c r="D205" t="inlineStr">
        <is>
          <t>Central</t>
        </is>
      </c>
      <c r="E205" t="inlineStr">
        <is>
          <t>James Wilson</t>
        </is>
      </c>
      <c r="F205" t="n">
        <v>29</v>
      </c>
      <c r="G205" t="n">
        <v>1099.26</v>
      </c>
      <c r="H205" t="n">
        <v>31878.43</v>
      </c>
      <c r="I205" t="n">
        <v>20877.25</v>
      </c>
      <c r="J205" t="n">
        <v>11001.17</v>
      </c>
    </row>
    <row r="206">
      <c r="A206" s="2" t="n">
        <v>45725</v>
      </c>
      <c r="B206" t="inlineStr">
        <is>
          <t>Smartphone X</t>
        </is>
      </c>
      <c r="C206" t="inlineStr">
        <is>
          <t>Electronics</t>
        </is>
      </c>
      <c r="D206" t="inlineStr">
        <is>
          <t>East</t>
        </is>
      </c>
      <c r="E206" t="inlineStr">
        <is>
          <t>Sarah Lee</t>
        </is>
      </c>
      <c r="F206" t="n">
        <v>25</v>
      </c>
      <c r="G206" t="n">
        <v>815.98</v>
      </c>
      <c r="H206" t="n">
        <v>20399.41</v>
      </c>
      <c r="I206" t="n">
        <v>11540.27</v>
      </c>
      <c r="J206" t="n">
        <v>8859.15</v>
      </c>
    </row>
    <row r="207">
      <c r="A207" s="2" t="n">
        <v>45727</v>
      </c>
      <c r="B207" t="inlineStr">
        <is>
          <t>Wireless Keyboard</t>
        </is>
      </c>
      <c r="C207" t="inlineStr">
        <is>
          <t>Accessories</t>
        </is>
      </c>
      <c r="D207" t="inlineStr">
        <is>
          <t>Central</t>
        </is>
      </c>
      <c r="E207" t="inlineStr">
        <is>
          <t>James Wilson</t>
        </is>
      </c>
      <c r="F207" t="n">
        <v>47</v>
      </c>
      <c r="G207" t="n">
        <v>109.96</v>
      </c>
      <c r="H207" t="n">
        <v>5168.06</v>
      </c>
      <c r="I207" t="n">
        <v>3204.93</v>
      </c>
      <c r="J207" t="n">
        <v>1963.13</v>
      </c>
    </row>
    <row r="208">
      <c r="A208" s="2" t="n">
        <v>45727</v>
      </c>
      <c r="B208" t="inlineStr">
        <is>
          <t>Tablet Air</t>
        </is>
      </c>
      <c r="C208" t="inlineStr">
        <is>
          <t>Storage</t>
        </is>
      </c>
      <c r="D208" t="inlineStr">
        <is>
          <t>South</t>
        </is>
      </c>
      <c r="E208" t="inlineStr">
        <is>
          <t>James Wilson</t>
        </is>
      </c>
      <c r="F208" t="n">
        <v>40</v>
      </c>
      <c r="G208" t="n">
        <v>655.46</v>
      </c>
      <c r="H208" t="n">
        <v>26218.43</v>
      </c>
      <c r="I208" t="n">
        <v>16385.84</v>
      </c>
      <c r="J208" t="n">
        <v>9832.59</v>
      </c>
    </row>
    <row r="209">
      <c r="A209" s="2" t="n">
        <v>45729</v>
      </c>
      <c r="B209" t="inlineStr">
        <is>
          <t>Gaming Mouse</t>
        </is>
      </c>
      <c r="C209" t="inlineStr">
        <is>
          <t>Peripherals</t>
        </is>
      </c>
      <c r="D209" t="inlineStr">
        <is>
          <t>East</t>
        </is>
      </c>
      <c r="E209" t="inlineStr">
        <is>
          <t>Tom Brown</t>
        </is>
      </c>
      <c r="F209" t="n">
        <v>47</v>
      </c>
      <c r="G209" t="n">
        <v>78.20999999999999</v>
      </c>
      <c r="H209" t="n">
        <v>3675.9</v>
      </c>
      <c r="I209" t="n">
        <v>2494.68</v>
      </c>
      <c r="J209" t="n">
        <v>1181.22</v>
      </c>
    </row>
    <row r="210">
      <c r="A210" s="2" t="n">
        <v>45729</v>
      </c>
      <c r="B210" t="inlineStr">
        <is>
          <t>Tablet Air</t>
        </is>
      </c>
      <c r="C210" t="inlineStr">
        <is>
          <t>Peripherals</t>
        </is>
      </c>
      <c r="D210" t="inlineStr">
        <is>
          <t>South</t>
        </is>
      </c>
      <c r="E210" t="inlineStr">
        <is>
          <t>James Wilson</t>
        </is>
      </c>
      <c r="F210" t="n">
        <v>40</v>
      </c>
      <c r="G210" t="n">
        <v>641.04</v>
      </c>
      <c r="H210" t="n">
        <v>25641.59</v>
      </c>
      <c r="I210" t="n">
        <v>17838.81</v>
      </c>
      <c r="J210" t="n">
        <v>7802.78</v>
      </c>
    </row>
    <row r="211">
      <c r="A211" s="2" t="n">
        <v>45729</v>
      </c>
      <c r="B211" t="inlineStr">
        <is>
          <t>Smartphone X</t>
        </is>
      </c>
      <c r="C211" t="inlineStr">
        <is>
          <t>Accessories</t>
        </is>
      </c>
      <c r="D211" t="inlineStr">
        <is>
          <t>West</t>
        </is>
      </c>
      <c r="E211" t="inlineStr">
        <is>
          <t>John Smith</t>
        </is>
      </c>
      <c r="F211" t="n">
        <v>43</v>
      </c>
      <c r="G211" t="n">
        <v>958.65</v>
      </c>
      <c r="H211" t="n">
        <v>41221.82</v>
      </c>
      <c r="I211" t="n">
        <v>23734.45</v>
      </c>
      <c r="J211" t="n">
        <v>17487.37</v>
      </c>
    </row>
    <row r="212">
      <c r="A212" s="2" t="n">
        <v>45729</v>
      </c>
      <c r="B212" t="inlineStr">
        <is>
          <t>Portable SSD</t>
        </is>
      </c>
      <c r="C212" t="inlineStr">
        <is>
          <t>Accessories</t>
        </is>
      </c>
      <c r="D212" t="inlineStr">
        <is>
          <t>Central</t>
        </is>
      </c>
      <c r="E212" t="inlineStr">
        <is>
          <t>Mike Chen</t>
        </is>
      </c>
      <c r="F212" t="n">
        <v>47</v>
      </c>
      <c r="G212" t="n">
        <v>145.23</v>
      </c>
      <c r="H212" t="n">
        <v>6825.9</v>
      </c>
      <c r="I212" t="n">
        <v>3909.16</v>
      </c>
      <c r="J212" t="n">
        <v>2916.74</v>
      </c>
    </row>
    <row r="213">
      <c r="A213" s="2" t="n">
        <v>45730</v>
      </c>
      <c r="B213" t="inlineStr">
        <is>
          <t>Smartphone X</t>
        </is>
      </c>
      <c r="C213" t="inlineStr">
        <is>
          <t>Peripherals</t>
        </is>
      </c>
      <c r="D213" t="inlineStr">
        <is>
          <t>Central</t>
        </is>
      </c>
      <c r="E213" t="inlineStr">
        <is>
          <t>John Smith</t>
        </is>
      </c>
      <c r="F213" t="n">
        <v>23</v>
      </c>
      <c r="G213" t="n">
        <v>955.12</v>
      </c>
      <c r="H213" t="n">
        <v>21967.67</v>
      </c>
      <c r="I213" t="n">
        <v>15369.73</v>
      </c>
      <c r="J213" t="n">
        <v>6597.95</v>
      </c>
    </row>
    <row r="214">
      <c r="A214" s="2" t="n">
        <v>45730</v>
      </c>
      <c r="B214" t="inlineStr">
        <is>
          <t>Laptop Pro</t>
        </is>
      </c>
      <c r="C214" t="inlineStr">
        <is>
          <t>Peripherals</t>
        </is>
      </c>
      <c r="D214" t="inlineStr">
        <is>
          <t>South</t>
        </is>
      </c>
      <c r="E214" t="inlineStr">
        <is>
          <t>Anna Kim</t>
        </is>
      </c>
      <c r="F214" t="n">
        <v>48</v>
      </c>
      <c r="G214" t="n">
        <v>1286.89</v>
      </c>
      <c r="H214" t="n">
        <v>61770.73</v>
      </c>
      <c r="I214" t="n">
        <v>44407.59</v>
      </c>
      <c r="J214" t="n">
        <v>17363.14</v>
      </c>
    </row>
    <row r="215">
      <c r="A215" s="2" t="n">
        <v>45735</v>
      </c>
      <c r="B215" t="inlineStr">
        <is>
          <t>Wireless Keyboard</t>
        </is>
      </c>
      <c r="C215" t="inlineStr">
        <is>
          <t>Storage</t>
        </is>
      </c>
      <c r="D215" t="inlineStr">
        <is>
          <t>Central</t>
        </is>
      </c>
      <c r="E215" t="inlineStr">
        <is>
          <t>James Wilson</t>
        </is>
      </c>
      <c r="F215" t="n">
        <v>35</v>
      </c>
      <c r="G215" t="n">
        <v>95.73</v>
      </c>
      <c r="H215" t="n">
        <v>3350.58</v>
      </c>
      <c r="I215" t="n">
        <v>2238.75</v>
      </c>
      <c r="J215" t="n">
        <v>1111.83</v>
      </c>
    </row>
    <row r="216">
      <c r="A216" s="2" t="n">
        <v>45735</v>
      </c>
      <c r="B216" t="inlineStr">
        <is>
          <t>Gaming Mouse</t>
        </is>
      </c>
      <c r="C216" t="inlineStr">
        <is>
          <t>Accessories</t>
        </is>
      </c>
      <c r="D216" t="inlineStr">
        <is>
          <t>East</t>
        </is>
      </c>
      <c r="E216" t="inlineStr">
        <is>
          <t>Anna Kim</t>
        </is>
      </c>
      <c r="F216" t="n">
        <v>31</v>
      </c>
      <c r="G216" t="n">
        <v>80.5</v>
      </c>
      <c r="H216" t="n">
        <v>2495.46</v>
      </c>
      <c r="I216" t="n">
        <v>1839.96</v>
      </c>
      <c r="J216" t="n">
        <v>655.5</v>
      </c>
    </row>
    <row r="217">
      <c r="A217" s="2" t="n">
        <v>45736</v>
      </c>
      <c r="B217" t="inlineStr">
        <is>
          <t>Laptop Pro</t>
        </is>
      </c>
      <c r="C217" t="inlineStr">
        <is>
          <t>Electronics</t>
        </is>
      </c>
      <c r="D217" t="inlineStr">
        <is>
          <t>Central</t>
        </is>
      </c>
      <c r="E217" t="inlineStr">
        <is>
          <t>Emma Davis</t>
        </is>
      </c>
      <c r="F217" t="n">
        <v>32</v>
      </c>
      <c r="G217" t="n">
        <v>1319.12</v>
      </c>
      <c r="H217" t="n">
        <v>42211.85</v>
      </c>
      <c r="I217" t="n">
        <v>26325.92</v>
      </c>
      <c r="J217" t="n">
        <v>15885.93</v>
      </c>
    </row>
    <row r="218">
      <c r="A218" s="2" t="n">
        <v>45736</v>
      </c>
      <c r="B218" t="inlineStr">
        <is>
          <t>Tablet Air</t>
        </is>
      </c>
      <c r="C218" t="inlineStr">
        <is>
          <t>Electronics</t>
        </is>
      </c>
      <c r="D218" t="inlineStr">
        <is>
          <t>North</t>
        </is>
      </c>
      <c r="E218" t="inlineStr">
        <is>
          <t>Tom Brown</t>
        </is>
      </c>
      <c r="F218" t="n">
        <v>35</v>
      </c>
      <c r="G218" t="n">
        <v>551.77</v>
      </c>
      <c r="H218" t="n">
        <v>19311.95</v>
      </c>
      <c r="I218" t="n">
        <v>12507.35</v>
      </c>
      <c r="J218" t="n">
        <v>6804.6</v>
      </c>
    </row>
    <row r="219">
      <c r="A219" s="2" t="n">
        <v>45736</v>
      </c>
      <c r="B219" t="inlineStr">
        <is>
          <t>Noise Headphones</t>
        </is>
      </c>
      <c r="C219" t="inlineStr">
        <is>
          <t>Mobile</t>
        </is>
      </c>
      <c r="D219" t="inlineStr">
        <is>
          <t>West</t>
        </is>
      </c>
      <c r="E219" t="inlineStr">
        <is>
          <t>Mike Chen</t>
        </is>
      </c>
      <c r="F219" t="n">
        <v>44</v>
      </c>
      <c r="G219" t="n">
        <v>264.74</v>
      </c>
      <c r="H219" t="n">
        <v>11648.58</v>
      </c>
      <c r="I219" t="n">
        <v>7577.72</v>
      </c>
      <c r="J219" t="n">
        <v>4070.86</v>
      </c>
    </row>
    <row r="220">
      <c r="A220" s="2" t="n">
        <v>45736</v>
      </c>
      <c r="B220" t="inlineStr">
        <is>
          <t>Webcam HD</t>
        </is>
      </c>
      <c r="C220" t="inlineStr">
        <is>
          <t>Electronics</t>
        </is>
      </c>
      <c r="D220" t="inlineStr">
        <is>
          <t>East</t>
        </is>
      </c>
      <c r="E220" t="inlineStr">
        <is>
          <t>James Wilson</t>
        </is>
      </c>
      <c r="F220" t="n">
        <v>33</v>
      </c>
      <c r="G220" t="n">
        <v>119.66</v>
      </c>
      <c r="H220" t="n">
        <v>3948.81</v>
      </c>
      <c r="I220" t="n">
        <v>2374.64</v>
      </c>
      <c r="J220" t="n">
        <v>1574.17</v>
      </c>
    </row>
    <row r="221">
      <c r="A221" s="2" t="n">
        <v>45737</v>
      </c>
      <c r="B221" t="inlineStr">
        <is>
          <t>Monitor 4K</t>
        </is>
      </c>
      <c r="C221" t="inlineStr">
        <is>
          <t>Mobile</t>
        </is>
      </c>
      <c r="D221" t="inlineStr">
        <is>
          <t>East</t>
        </is>
      </c>
      <c r="E221" t="inlineStr">
        <is>
          <t>Emma Davis</t>
        </is>
      </c>
      <c r="F221" t="n">
        <v>34</v>
      </c>
      <c r="G221" t="n">
        <v>401.51</v>
      </c>
      <c r="H221" t="n">
        <v>13651.46</v>
      </c>
      <c r="I221" t="n">
        <v>7636.53</v>
      </c>
      <c r="J221" t="n">
        <v>6014.92</v>
      </c>
    </row>
    <row r="222">
      <c r="A222" s="2" t="n">
        <v>45737</v>
      </c>
      <c r="B222" t="inlineStr">
        <is>
          <t>Portable SSD</t>
        </is>
      </c>
      <c r="C222" t="inlineStr">
        <is>
          <t>Accessories</t>
        </is>
      </c>
      <c r="D222" t="inlineStr">
        <is>
          <t>West</t>
        </is>
      </c>
      <c r="E222" t="inlineStr">
        <is>
          <t>Anna Kim</t>
        </is>
      </c>
      <c r="F222" t="n">
        <v>54</v>
      </c>
      <c r="G222" t="n">
        <v>155.18</v>
      </c>
      <c r="H222" t="n">
        <v>8379.620000000001</v>
      </c>
      <c r="I222" t="n">
        <v>5352.48</v>
      </c>
      <c r="J222" t="n">
        <v>3027.14</v>
      </c>
    </row>
    <row r="223">
      <c r="A223" s="2" t="n">
        <v>45738</v>
      </c>
      <c r="B223" t="inlineStr">
        <is>
          <t>Smartphone X</t>
        </is>
      </c>
      <c r="C223" t="inlineStr">
        <is>
          <t>Peripherals</t>
        </is>
      </c>
      <c r="D223" t="inlineStr">
        <is>
          <t>East</t>
        </is>
      </c>
      <c r="E223" t="inlineStr">
        <is>
          <t>Sarah Lee</t>
        </is>
      </c>
      <c r="F223" t="n">
        <v>31</v>
      </c>
      <c r="G223" t="n">
        <v>953.54</v>
      </c>
      <c r="H223" t="n">
        <v>29559.64</v>
      </c>
      <c r="I223" t="n">
        <v>20150.52</v>
      </c>
      <c r="J223" t="n">
        <v>9409.120000000001</v>
      </c>
    </row>
    <row r="224">
      <c r="A224" s="2" t="n">
        <v>45738</v>
      </c>
      <c r="B224" t="inlineStr">
        <is>
          <t>Monitor 4K</t>
        </is>
      </c>
      <c r="C224" t="inlineStr">
        <is>
          <t>Electronics</t>
        </is>
      </c>
      <c r="D224" t="inlineStr">
        <is>
          <t>West</t>
        </is>
      </c>
      <c r="E224" t="inlineStr">
        <is>
          <t>Sarah Lee</t>
        </is>
      </c>
      <c r="F224" t="n">
        <v>42</v>
      </c>
      <c r="G224" t="n">
        <v>413.45</v>
      </c>
      <c r="H224" t="n">
        <v>17364.77</v>
      </c>
      <c r="I224" t="n">
        <v>10262.52</v>
      </c>
      <c r="J224" t="n">
        <v>7102.24</v>
      </c>
    </row>
    <row r="225">
      <c r="A225" s="2" t="n">
        <v>45739</v>
      </c>
      <c r="B225" t="inlineStr">
        <is>
          <t>Monitor 4K</t>
        </is>
      </c>
      <c r="C225" t="inlineStr">
        <is>
          <t>Storage</t>
        </is>
      </c>
      <c r="D225" t="inlineStr">
        <is>
          <t>East</t>
        </is>
      </c>
      <c r="E225" t="inlineStr">
        <is>
          <t>Anna Kim</t>
        </is>
      </c>
      <c r="F225" t="n">
        <v>41</v>
      </c>
      <c r="G225" t="n">
        <v>374.19</v>
      </c>
      <c r="H225" t="n">
        <v>15341.97</v>
      </c>
      <c r="I225" t="n">
        <v>10110.44</v>
      </c>
      <c r="J225" t="n">
        <v>5231.53</v>
      </c>
    </row>
    <row r="226">
      <c r="A226" s="2" t="n">
        <v>45741</v>
      </c>
      <c r="B226" t="inlineStr">
        <is>
          <t>Laptop Pro</t>
        </is>
      </c>
      <c r="C226" t="inlineStr">
        <is>
          <t>Peripherals</t>
        </is>
      </c>
      <c r="D226" t="inlineStr">
        <is>
          <t>North</t>
        </is>
      </c>
      <c r="E226" t="inlineStr">
        <is>
          <t>Lisa Park</t>
        </is>
      </c>
      <c r="F226" t="n">
        <v>40</v>
      </c>
      <c r="G226" t="n">
        <v>1221.68</v>
      </c>
      <c r="H226" t="n">
        <v>48867.34</v>
      </c>
      <c r="I226" t="n">
        <v>31845.48</v>
      </c>
      <c r="J226" t="n">
        <v>17021.86</v>
      </c>
    </row>
    <row r="227">
      <c r="A227" s="2" t="n">
        <v>45742</v>
      </c>
      <c r="B227" t="inlineStr">
        <is>
          <t>Laptop Pro</t>
        </is>
      </c>
      <c r="C227" t="inlineStr">
        <is>
          <t>Accessories</t>
        </is>
      </c>
      <c r="D227" t="inlineStr">
        <is>
          <t>East</t>
        </is>
      </c>
      <c r="E227" t="inlineStr">
        <is>
          <t>James Wilson</t>
        </is>
      </c>
      <c r="F227" t="n">
        <v>37</v>
      </c>
      <c r="G227" t="n">
        <v>1113.55</v>
      </c>
      <c r="H227" t="n">
        <v>41201.18</v>
      </c>
      <c r="I227" t="n">
        <v>29213.84</v>
      </c>
      <c r="J227" t="n">
        <v>11987.34</v>
      </c>
    </row>
    <row r="228">
      <c r="A228" s="2" t="n">
        <v>45746</v>
      </c>
      <c r="B228" t="inlineStr">
        <is>
          <t>USB-C Hub</t>
        </is>
      </c>
      <c r="C228" t="inlineStr">
        <is>
          <t>Electronics</t>
        </is>
      </c>
      <c r="D228" t="inlineStr">
        <is>
          <t>West</t>
        </is>
      </c>
      <c r="E228" t="inlineStr">
        <is>
          <t>James Wilson</t>
        </is>
      </c>
      <c r="F228" t="n">
        <v>39</v>
      </c>
      <c r="G228" t="n">
        <v>56.48</v>
      </c>
      <c r="H228" t="n">
        <v>2202.61</v>
      </c>
      <c r="I228" t="n">
        <v>1216.28</v>
      </c>
      <c r="J228" t="n">
        <v>986.33</v>
      </c>
    </row>
    <row r="229">
      <c r="A229" s="2" t="n">
        <v>45753</v>
      </c>
      <c r="B229" t="inlineStr">
        <is>
          <t>Smartphone X</t>
        </is>
      </c>
      <c r="C229" t="inlineStr">
        <is>
          <t>Mobile</t>
        </is>
      </c>
      <c r="D229" t="inlineStr">
        <is>
          <t>North</t>
        </is>
      </c>
      <c r="E229" t="inlineStr">
        <is>
          <t>James Wilson</t>
        </is>
      </c>
      <c r="F229" t="n">
        <v>27</v>
      </c>
      <c r="G229" t="n">
        <v>961.16</v>
      </c>
      <c r="H229" t="n">
        <v>25951.44</v>
      </c>
      <c r="I229" t="n">
        <v>16265.5</v>
      </c>
      <c r="J229" t="n">
        <v>9685.940000000001</v>
      </c>
    </row>
    <row r="230">
      <c r="A230" s="2" t="n">
        <v>45755</v>
      </c>
      <c r="B230" t="inlineStr">
        <is>
          <t>Wireless Keyboard</t>
        </is>
      </c>
      <c r="C230" t="inlineStr">
        <is>
          <t>Accessories</t>
        </is>
      </c>
      <c r="D230" t="inlineStr">
        <is>
          <t>East</t>
        </is>
      </c>
      <c r="E230" t="inlineStr">
        <is>
          <t>Emma Davis</t>
        </is>
      </c>
      <c r="F230" t="n">
        <v>31</v>
      </c>
      <c r="G230" t="n">
        <v>91.75</v>
      </c>
      <c r="H230" t="n">
        <v>2844.34</v>
      </c>
      <c r="I230" t="n">
        <v>2097.39</v>
      </c>
      <c r="J230" t="n">
        <v>746.95</v>
      </c>
    </row>
    <row r="231">
      <c r="A231" s="2" t="n">
        <v>45757</v>
      </c>
      <c r="B231" t="inlineStr">
        <is>
          <t>USB-C Hub</t>
        </is>
      </c>
      <c r="C231" t="inlineStr">
        <is>
          <t>Accessories</t>
        </is>
      </c>
      <c r="D231" t="inlineStr">
        <is>
          <t>North</t>
        </is>
      </c>
      <c r="E231" t="inlineStr">
        <is>
          <t>Emma Davis</t>
        </is>
      </c>
      <c r="F231" t="n">
        <v>26</v>
      </c>
      <c r="G231" t="n">
        <v>61.04</v>
      </c>
      <c r="H231" t="n">
        <v>1587.09</v>
      </c>
      <c r="I231" t="n">
        <v>1109.52</v>
      </c>
      <c r="J231" t="n">
        <v>477.58</v>
      </c>
    </row>
    <row r="232">
      <c r="A232" s="2" t="n">
        <v>45757</v>
      </c>
      <c r="B232" t="inlineStr">
        <is>
          <t>Portable SSD</t>
        </is>
      </c>
      <c r="C232" t="inlineStr">
        <is>
          <t>Mobile</t>
        </is>
      </c>
      <c r="D232" t="inlineStr">
        <is>
          <t>West</t>
        </is>
      </c>
      <c r="E232" t="inlineStr">
        <is>
          <t>Mike Chen</t>
        </is>
      </c>
      <c r="F232" t="n">
        <v>42</v>
      </c>
      <c r="G232" t="n">
        <v>136.3</v>
      </c>
      <c r="H232" t="n">
        <v>5724.7</v>
      </c>
      <c r="I232" t="n">
        <v>3873.51</v>
      </c>
      <c r="J232" t="n">
        <v>1851.19</v>
      </c>
    </row>
    <row r="233">
      <c r="A233" s="2" t="n">
        <v>45758</v>
      </c>
      <c r="B233" t="inlineStr">
        <is>
          <t>Smartphone X</t>
        </is>
      </c>
      <c r="C233" t="inlineStr">
        <is>
          <t>Mobile</t>
        </is>
      </c>
      <c r="D233" t="inlineStr">
        <is>
          <t>East</t>
        </is>
      </c>
      <c r="E233" t="inlineStr">
        <is>
          <t>Anna Kim</t>
        </is>
      </c>
      <c r="F233" t="n">
        <v>35</v>
      </c>
      <c r="G233" t="n">
        <v>944.5700000000001</v>
      </c>
      <c r="H233" t="n">
        <v>33059.94</v>
      </c>
      <c r="I233" t="n">
        <v>21506.95</v>
      </c>
      <c r="J233" t="n">
        <v>11552.99</v>
      </c>
    </row>
    <row r="234">
      <c r="A234" s="2" t="n">
        <v>45758</v>
      </c>
      <c r="B234" t="inlineStr">
        <is>
          <t>Monitor 4K</t>
        </is>
      </c>
      <c r="C234" t="inlineStr">
        <is>
          <t>Electronics</t>
        </is>
      </c>
      <c r="D234" t="inlineStr">
        <is>
          <t>South</t>
        </is>
      </c>
      <c r="E234" t="inlineStr">
        <is>
          <t>Sarah Lee</t>
        </is>
      </c>
      <c r="F234" t="n">
        <v>51</v>
      </c>
      <c r="G234" t="n">
        <v>399.78</v>
      </c>
      <c r="H234" t="n">
        <v>20388.77</v>
      </c>
      <c r="I234" t="n">
        <v>12440.73</v>
      </c>
      <c r="J234" t="n">
        <v>7948.04</v>
      </c>
    </row>
    <row r="235">
      <c r="A235" s="2" t="n">
        <v>45758</v>
      </c>
      <c r="B235" t="inlineStr">
        <is>
          <t>Wireless Keyboard</t>
        </is>
      </c>
      <c r="C235" t="inlineStr">
        <is>
          <t>Storage</t>
        </is>
      </c>
      <c r="D235" t="inlineStr">
        <is>
          <t>Central</t>
        </is>
      </c>
      <c r="E235" t="inlineStr">
        <is>
          <t>James Wilson</t>
        </is>
      </c>
      <c r="F235" t="n">
        <v>33</v>
      </c>
      <c r="G235" t="n">
        <v>90.48</v>
      </c>
      <c r="H235" t="n">
        <v>2985.97</v>
      </c>
      <c r="I235" t="n">
        <v>2138.97</v>
      </c>
      <c r="J235" t="n">
        <v>847</v>
      </c>
    </row>
    <row r="236">
      <c r="A236" s="2" t="n">
        <v>45759</v>
      </c>
      <c r="B236" t="inlineStr">
        <is>
          <t>Laptop Pro</t>
        </is>
      </c>
      <c r="C236" t="inlineStr">
        <is>
          <t>Storage</t>
        </is>
      </c>
      <c r="D236" t="inlineStr">
        <is>
          <t>East</t>
        </is>
      </c>
      <c r="E236" t="inlineStr">
        <is>
          <t>John Smith</t>
        </is>
      </c>
      <c r="F236" t="n">
        <v>45</v>
      </c>
      <c r="G236" t="n">
        <v>1207.78</v>
      </c>
      <c r="H236" t="n">
        <v>54350.14</v>
      </c>
      <c r="I236" t="n">
        <v>34361.2</v>
      </c>
      <c r="J236" t="n">
        <v>19988.94</v>
      </c>
    </row>
    <row r="237">
      <c r="A237" s="2" t="n">
        <v>45760</v>
      </c>
      <c r="B237" t="inlineStr">
        <is>
          <t>Noise Headphones</t>
        </is>
      </c>
      <c r="C237" t="inlineStr">
        <is>
          <t>Storage</t>
        </is>
      </c>
      <c r="D237" t="inlineStr">
        <is>
          <t>Central</t>
        </is>
      </c>
      <c r="E237" t="inlineStr">
        <is>
          <t>Tom Brown</t>
        </is>
      </c>
      <c r="F237" t="n">
        <v>41</v>
      </c>
      <c r="G237" t="n">
        <v>258.25</v>
      </c>
      <c r="H237" t="n">
        <v>10588.07</v>
      </c>
      <c r="I237" t="n">
        <v>7507.89</v>
      </c>
      <c r="J237" t="n">
        <v>3080.18</v>
      </c>
    </row>
    <row r="238">
      <c r="A238" s="2" t="n">
        <v>45761</v>
      </c>
      <c r="B238" t="inlineStr">
        <is>
          <t>Portable SSD</t>
        </is>
      </c>
      <c r="C238" t="inlineStr">
        <is>
          <t>Storage</t>
        </is>
      </c>
      <c r="D238" t="inlineStr">
        <is>
          <t>North</t>
        </is>
      </c>
      <c r="E238" t="inlineStr">
        <is>
          <t>John Smith</t>
        </is>
      </c>
      <c r="F238" t="n">
        <v>34</v>
      </c>
      <c r="G238" t="n">
        <v>152.03</v>
      </c>
      <c r="H238" t="n">
        <v>5168.89</v>
      </c>
      <c r="I238" t="n">
        <v>3555.64</v>
      </c>
      <c r="J238" t="n">
        <v>1613.25</v>
      </c>
    </row>
    <row r="239">
      <c r="A239" s="2" t="n">
        <v>45762</v>
      </c>
      <c r="B239" t="inlineStr">
        <is>
          <t>Tablet Air</t>
        </is>
      </c>
      <c r="C239" t="inlineStr">
        <is>
          <t>Electronics</t>
        </is>
      </c>
      <c r="D239" t="inlineStr">
        <is>
          <t>Central</t>
        </is>
      </c>
      <c r="E239" t="inlineStr">
        <is>
          <t>Tom Brown</t>
        </is>
      </c>
      <c r="F239" t="n">
        <v>44</v>
      </c>
      <c r="G239" t="n">
        <v>610.95</v>
      </c>
      <c r="H239" t="n">
        <v>26881.93</v>
      </c>
      <c r="I239" t="n">
        <v>16930.26</v>
      </c>
      <c r="J239" t="n">
        <v>9951.68</v>
      </c>
    </row>
    <row r="240">
      <c r="A240" s="2" t="n">
        <v>45763</v>
      </c>
      <c r="B240" t="inlineStr">
        <is>
          <t>Noise Headphones</t>
        </is>
      </c>
      <c r="C240" t="inlineStr">
        <is>
          <t>Peripherals</t>
        </is>
      </c>
      <c r="D240" t="inlineStr">
        <is>
          <t>West</t>
        </is>
      </c>
      <c r="E240" t="inlineStr">
        <is>
          <t>Anna Kim</t>
        </is>
      </c>
      <c r="F240" t="n">
        <v>39</v>
      </c>
      <c r="G240" t="n">
        <v>236.88</v>
      </c>
      <c r="H240" t="n">
        <v>9238.389999999999</v>
      </c>
      <c r="I240" t="n">
        <v>6426.63</v>
      </c>
      <c r="J240" t="n">
        <v>2811.77</v>
      </c>
    </row>
    <row r="241">
      <c r="A241" s="2" t="n">
        <v>45763</v>
      </c>
      <c r="B241" t="inlineStr">
        <is>
          <t>Smartphone X</t>
        </is>
      </c>
      <c r="C241" t="inlineStr">
        <is>
          <t>Storage</t>
        </is>
      </c>
      <c r="D241" t="inlineStr">
        <is>
          <t>West</t>
        </is>
      </c>
      <c r="E241" t="inlineStr">
        <is>
          <t>Emma Davis</t>
        </is>
      </c>
      <c r="F241" t="n">
        <v>45</v>
      </c>
      <c r="G241" t="n">
        <v>902.52</v>
      </c>
      <c r="H241" t="n">
        <v>40613.31</v>
      </c>
      <c r="I241" t="n">
        <v>28702.67</v>
      </c>
      <c r="J241" t="n">
        <v>11910.64</v>
      </c>
    </row>
    <row r="242">
      <c r="A242" s="2" t="n">
        <v>45764</v>
      </c>
      <c r="B242" t="inlineStr">
        <is>
          <t>Webcam HD</t>
        </is>
      </c>
      <c r="C242" t="inlineStr">
        <is>
          <t>Peripherals</t>
        </is>
      </c>
      <c r="D242" t="inlineStr">
        <is>
          <t>West</t>
        </is>
      </c>
      <c r="E242" t="inlineStr">
        <is>
          <t>Mike Chen</t>
        </is>
      </c>
      <c r="F242" t="n">
        <v>38</v>
      </c>
      <c r="G242" t="n">
        <v>122.87</v>
      </c>
      <c r="H242" t="n">
        <v>4669.06</v>
      </c>
      <c r="I242" t="n">
        <v>3175.15</v>
      </c>
      <c r="J242" t="n">
        <v>1493.91</v>
      </c>
    </row>
    <row r="243">
      <c r="A243" s="2" t="n">
        <v>45765</v>
      </c>
      <c r="B243" t="inlineStr">
        <is>
          <t>Laptop Pro</t>
        </is>
      </c>
      <c r="C243" t="inlineStr">
        <is>
          <t>Electronics</t>
        </is>
      </c>
      <c r="D243" t="inlineStr">
        <is>
          <t>Central</t>
        </is>
      </c>
      <c r="E243" t="inlineStr">
        <is>
          <t>Anna Kim</t>
        </is>
      </c>
      <c r="F243" t="n">
        <v>32</v>
      </c>
      <c r="G243" t="n">
        <v>1234.91</v>
      </c>
      <c r="H243" t="n">
        <v>39517.23</v>
      </c>
      <c r="I243" t="n">
        <v>23134.26</v>
      </c>
      <c r="J243" t="n">
        <v>16382.97</v>
      </c>
    </row>
    <row r="244">
      <c r="A244" s="2" t="n">
        <v>45767</v>
      </c>
      <c r="B244" t="inlineStr">
        <is>
          <t>Gaming Mouse</t>
        </is>
      </c>
      <c r="C244" t="inlineStr">
        <is>
          <t>Mobile</t>
        </is>
      </c>
      <c r="D244" t="inlineStr">
        <is>
          <t>South</t>
        </is>
      </c>
      <c r="E244" t="inlineStr">
        <is>
          <t>Emma Davis</t>
        </is>
      </c>
      <c r="F244" t="n">
        <v>35</v>
      </c>
      <c r="G244" t="n">
        <v>76.54000000000001</v>
      </c>
      <c r="H244" t="n">
        <v>2678.91</v>
      </c>
      <c r="I244" t="n">
        <v>1667.94</v>
      </c>
      <c r="J244" t="n">
        <v>1010.98</v>
      </c>
    </row>
    <row r="245">
      <c r="A245" s="2" t="n">
        <v>45772</v>
      </c>
      <c r="B245" t="inlineStr">
        <is>
          <t>Gaming Mouse</t>
        </is>
      </c>
      <c r="C245" t="inlineStr">
        <is>
          <t>Electronics</t>
        </is>
      </c>
      <c r="D245" t="inlineStr">
        <is>
          <t>East</t>
        </is>
      </c>
      <c r="E245" t="inlineStr">
        <is>
          <t>James Wilson</t>
        </is>
      </c>
      <c r="F245" t="n">
        <v>37</v>
      </c>
      <c r="G245" t="n">
        <v>87.41</v>
      </c>
      <c r="H245" t="n">
        <v>3234.05</v>
      </c>
      <c r="I245" t="n">
        <v>2091.49</v>
      </c>
      <c r="J245" t="n">
        <v>1142.56</v>
      </c>
    </row>
    <row r="246">
      <c r="A246" s="2" t="n">
        <v>45773</v>
      </c>
      <c r="B246" t="inlineStr">
        <is>
          <t>Monitor 4K</t>
        </is>
      </c>
      <c r="C246" t="inlineStr">
        <is>
          <t>Accessories</t>
        </is>
      </c>
      <c r="D246" t="inlineStr">
        <is>
          <t>Central</t>
        </is>
      </c>
      <c r="E246" t="inlineStr">
        <is>
          <t>Tom Brown</t>
        </is>
      </c>
      <c r="F246" t="n">
        <v>31</v>
      </c>
      <c r="G246" t="n">
        <v>376.41</v>
      </c>
      <c r="H246" t="n">
        <v>11668.75</v>
      </c>
      <c r="I246" t="n">
        <v>6862.83</v>
      </c>
      <c r="J246" t="n">
        <v>4805.92</v>
      </c>
    </row>
    <row r="247">
      <c r="A247" s="2" t="n">
        <v>45774</v>
      </c>
      <c r="B247" t="inlineStr">
        <is>
          <t>Monitor 4K</t>
        </is>
      </c>
      <c r="C247" t="inlineStr">
        <is>
          <t>Electronics</t>
        </is>
      </c>
      <c r="D247" t="inlineStr">
        <is>
          <t>East</t>
        </is>
      </c>
      <c r="E247" t="inlineStr">
        <is>
          <t>Anna Kim</t>
        </is>
      </c>
      <c r="F247" t="n">
        <v>30</v>
      </c>
      <c r="G247" t="n">
        <v>373.51</v>
      </c>
      <c r="H247" t="n">
        <v>11205.44</v>
      </c>
      <c r="I247" t="n">
        <v>6787.34</v>
      </c>
      <c r="J247" t="n">
        <v>4418.1</v>
      </c>
    </row>
    <row r="248">
      <c r="A248" s="2" t="n">
        <v>45775</v>
      </c>
      <c r="B248" t="inlineStr">
        <is>
          <t>Portable SSD</t>
        </is>
      </c>
      <c r="C248" t="inlineStr">
        <is>
          <t>Electronics</t>
        </is>
      </c>
      <c r="D248" t="inlineStr">
        <is>
          <t>North</t>
        </is>
      </c>
      <c r="E248" t="inlineStr">
        <is>
          <t>Lisa Park</t>
        </is>
      </c>
      <c r="F248" t="n">
        <v>49</v>
      </c>
      <c r="G248" t="n">
        <v>150.56</v>
      </c>
      <c r="H248" t="n">
        <v>7377.62</v>
      </c>
      <c r="I248" t="n">
        <v>5095.01</v>
      </c>
      <c r="J248" t="n">
        <v>2282.61</v>
      </c>
    </row>
    <row r="249">
      <c r="A249" s="2" t="n">
        <v>45778</v>
      </c>
      <c r="B249" t="inlineStr">
        <is>
          <t>Noise Headphones</t>
        </is>
      </c>
      <c r="C249" t="inlineStr">
        <is>
          <t>Peripherals</t>
        </is>
      </c>
      <c r="D249" t="inlineStr">
        <is>
          <t>Central</t>
        </is>
      </c>
      <c r="E249" t="inlineStr">
        <is>
          <t>Mike Chen</t>
        </is>
      </c>
      <c r="F249" t="n">
        <v>41</v>
      </c>
      <c r="G249" t="n">
        <v>262.54</v>
      </c>
      <c r="H249" t="n">
        <v>10764.29</v>
      </c>
      <c r="I249" t="n">
        <v>7544.78</v>
      </c>
      <c r="J249" t="n">
        <v>3219.51</v>
      </c>
    </row>
    <row r="250">
      <c r="A250" s="2" t="n">
        <v>45778</v>
      </c>
      <c r="B250" t="inlineStr">
        <is>
          <t>Webcam HD</t>
        </is>
      </c>
      <c r="C250" t="inlineStr">
        <is>
          <t>Storage</t>
        </is>
      </c>
      <c r="D250" t="inlineStr">
        <is>
          <t>East</t>
        </is>
      </c>
      <c r="E250" t="inlineStr">
        <is>
          <t>Tom Brown</t>
        </is>
      </c>
      <c r="F250" t="n">
        <v>48</v>
      </c>
      <c r="G250" t="n">
        <v>113.49</v>
      </c>
      <c r="H250" t="n">
        <v>5447.4</v>
      </c>
      <c r="I250" t="n">
        <v>3727.87</v>
      </c>
      <c r="J250" t="n">
        <v>1719.52</v>
      </c>
    </row>
    <row r="251">
      <c r="A251" s="2" t="n">
        <v>45779</v>
      </c>
      <c r="B251" t="inlineStr">
        <is>
          <t>Smartphone X</t>
        </is>
      </c>
      <c r="C251" t="inlineStr">
        <is>
          <t>Peripherals</t>
        </is>
      </c>
      <c r="D251" t="inlineStr">
        <is>
          <t>South</t>
        </is>
      </c>
      <c r="E251" t="inlineStr">
        <is>
          <t>Mike Chen</t>
        </is>
      </c>
      <c r="F251" t="n">
        <v>35</v>
      </c>
      <c r="G251" t="n">
        <v>833.53</v>
      </c>
      <c r="H251" t="n">
        <v>29173.48</v>
      </c>
      <c r="I251" t="n">
        <v>21218.48</v>
      </c>
      <c r="J251" t="n">
        <v>7955</v>
      </c>
    </row>
    <row r="252">
      <c r="A252" s="2" t="n">
        <v>45780</v>
      </c>
      <c r="B252" t="inlineStr">
        <is>
          <t>Tablet Air</t>
        </is>
      </c>
      <c r="C252" t="inlineStr">
        <is>
          <t>Storage</t>
        </is>
      </c>
      <c r="D252" t="inlineStr">
        <is>
          <t>East</t>
        </is>
      </c>
      <c r="E252" t="inlineStr">
        <is>
          <t>Anna Kim</t>
        </is>
      </c>
      <c r="F252" t="n">
        <v>40</v>
      </c>
      <c r="G252" t="n">
        <v>618.33</v>
      </c>
      <c r="H252" t="n">
        <v>24733.18</v>
      </c>
      <c r="I252" t="n">
        <v>14781.45</v>
      </c>
      <c r="J252" t="n">
        <v>9951.73</v>
      </c>
    </row>
    <row r="253">
      <c r="A253" s="2" t="n">
        <v>45781</v>
      </c>
      <c r="B253" t="inlineStr">
        <is>
          <t>Gaming Mouse</t>
        </is>
      </c>
      <c r="C253" t="inlineStr">
        <is>
          <t>Mobile</t>
        </is>
      </c>
      <c r="D253" t="inlineStr">
        <is>
          <t>West</t>
        </is>
      </c>
      <c r="E253" t="inlineStr">
        <is>
          <t>James Wilson</t>
        </is>
      </c>
      <c r="F253" t="n">
        <v>29</v>
      </c>
      <c r="G253" t="n">
        <v>73.16</v>
      </c>
      <c r="H253" t="n">
        <v>2121.5</v>
      </c>
      <c r="I253" t="n">
        <v>1179.83</v>
      </c>
      <c r="J253" t="n">
        <v>941.67</v>
      </c>
    </row>
    <row r="254">
      <c r="A254" s="2" t="n">
        <v>45784</v>
      </c>
      <c r="B254" t="inlineStr">
        <is>
          <t>Tablet Air</t>
        </is>
      </c>
      <c r="C254" t="inlineStr">
        <is>
          <t>Mobile</t>
        </is>
      </c>
      <c r="D254" t="inlineStr">
        <is>
          <t>West</t>
        </is>
      </c>
      <c r="E254" t="inlineStr">
        <is>
          <t>Anna Kim</t>
        </is>
      </c>
      <c r="F254" t="n">
        <v>34</v>
      </c>
      <c r="G254" t="n">
        <v>548.05</v>
      </c>
      <c r="H254" t="n">
        <v>18633.67</v>
      </c>
      <c r="I254" t="n">
        <v>13043.42</v>
      </c>
      <c r="J254" t="n">
        <v>5590.25</v>
      </c>
    </row>
    <row r="255">
      <c r="A255" s="2" t="n">
        <v>45784</v>
      </c>
      <c r="B255" t="inlineStr">
        <is>
          <t>Noise Headphones</t>
        </is>
      </c>
      <c r="C255" t="inlineStr">
        <is>
          <t>Accessories</t>
        </is>
      </c>
      <c r="D255" t="inlineStr">
        <is>
          <t>East</t>
        </is>
      </c>
      <c r="E255" t="inlineStr">
        <is>
          <t>Mike Chen</t>
        </is>
      </c>
      <c r="F255" t="n">
        <v>28</v>
      </c>
      <c r="G255" t="n">
        <v>244.93</v>
      </c>
      <c r="H255" t="n">
        <v>6857.91</v>
      </c>
      <c r="I255" t="n">
        <v>4616.54</v>
      </c>
      <c r="J255" t="n">
        <v>2241.37</v>
      </c>
    </row>
    <row r="256">
      <c r="A256" s="2" t="n">
        <v>45785</v>
      </c>
      <c r="B256" t="inlineStr">
        <is>
          <t>Webcam HD</t>
        </is>
      </c>
      <c r="C256" t="inlineStr">
        <is>
          <t>Electronics</t>
        </is>
      </c>
      <c r="D256" t="inlineStr">
        <is>
          <t>South</t>
        </is>
      </c>
      <c r="E256" t="inlineStr">
        <is>
          <t>Lisa Park</t>
        </is>
      </c>
      <c r="F256" t="n">
        <v>38</v>
      </c>
      <c r="G256" t="n">
        <v>114.04</v>
      </c>
      <c r="H256" t="n">
        <v>4333.64</v>
      </c>
      <c r="I256" t="n">
        <v>2683.13</v>
      </c>
      <c r="J256" t="n">
        <v>1650.51</v>
      </c>
    </row>
    <row r="257">
      <c r="A257" s="2" t="n">
        <v>45785</v>
      </c>
      <c r="B257" t="inlineStr">
        <is>
          <t>Portable SSD</t>
        </is>
      </c>
      <c r="C257" t="inlineStr">
        <is>
          <t>Mobile</t>
        </is>
      </c>
      <c r="D257" t="inlineStr">
        <is>
          <t>West</t>
        </is>
      </c>
      <c r="E257" t="inlineStr">
        <is>
          <t>Mike Chen</t>
        </is>
      </c>
      <c r="F257" t="n">
        <v>20</v>
      </c>
      <c r="G257" t="n">
        <v>156.49</v>
      </c>
      <c r="H257" t="n">
        <v>3129.79</v>
      </c>
      <c r="I257" t="n">
        <v>1766.51</v>
      </c>
      <c r="J257" t="n">
        <v>1363.29</v>
      </c>
    </row>
    <row r="258">
      <c r="A258" s="2" t="n">
        <v>45787</v>
      </c>
      <c r="B258" t="inlineStr">
        <is>
          <t>Webcam HD</t>
        </is>
      </c>
      <c r="C258" t="inlineStr">
        <is>
          <t>Mobile</t>
        </is>
      </c>
      <c r="D258" t="inlineStr">
        <is>
          <t>North</t>
        </is>
      </c>
      <c r="E258" t="inlineStr">
        <is>
          <t>Mike Chen</t>
        </is>
      </c>
      <c r="F258" t="n">
        <v>24</v>
      </c>
      <c r="G258" t="n">
        <v>131.26</v>
      </c>
      <c r="H258" t="n">
        <v>3150.32</v>
      </c>
      <c r="I258" t="n">
        <v>2062.26</v>
      </c>
      <c r="J258" t="n">
        <v>1088.06</v>
      </c>
    </row>
    <row r="259">
      <c r="A259" s="2" t="n">
        <v>45787</v>
      </c>
      <c r="B259" t="inlineStr">
        <is>
          <t>USB-C Hub</t>
        </is>
      </c>
      <c r="C259" t="inlineStr">
        <is>
          <t>Storage</t>
        </is>
      </c>
      <c r="D259" t="inlineStr">
        <is>
          <t>Central</t>
        </is>
      </c>
      <c r="E259" t="inlineStr">
        <is>
          <t>Anna Kim</t>
        </is>
      </c>
      <c r="F259" t="n">
        <v>36</v>
      </c>
      <c r="G259" t="n">
        <v>61.71</v>
      </c>
      <c r="H259" t="n">
        <v>2221.48</v>
      </c>
      <c r="I259" t="n">
        <v>1250.63</v>
      </c>
      <c r="J259" t="n">
        <v>970.85</v>
      </c>
    </row>
    <row r="260">
      <c r="A260" s="2" t="n">
        <v>45788</v>
      </c>
      <c r="B260" t="inlineStr">
        <is>
          <t>Smartphone X</t>
        </is>
      </c>
      <c r="C260" t="inlineStr">
        <is>
          <t>Accessories</t>
        </is>
      </c>
      <c r="D260" t="inlineStr">
        <is>
          <t>Central</t>
        </is>
      </c>
      <c r="E260" t="inlineStr">
        <is>
          <t>Tom Brown</t>
        </is>
      </c>
      <c r="F260" t="n">
        <v>42</v>
      </c>
      <c r="G260" t="n">
        <v>854.5</v>
      </c>
      <c r="H260" t="n">
        <v>35889.07</v>
      </c>
      <c r="I260" t="n">
        <v>25989.07</v>
      </c>
      <c r="J260" t="n">
        <v>9900</v>
      </c>
    </row>
    <row r="261">
      <c r="A261" s="2" t="n">
        <v>45788</v>
      </c>
      <c r="B261" t="inlineStr">
        <is>
          <t>Laptop Pro</t>
        </is>
      </c>
      <c r="C261" t="inlineStr">
        <is>
          <t>Storage</t>
        </is>
      </c>
      <c r="D261" t="inlineStr">
        <is>
          <t>East</t>
        </is>
      </c>
      <c r="E261" t="inlineStr">
        <is>
          <t>Mike Chen</t>
        </is>
      </c>
      <c r="F261" t="n">
        <v>29</v>
      </c>
      <c r="G261" t="n">
        <v>1200.82</v>
      </c>
      <c r="H261" t="n">
        <v>34823.78</v>
      </c>
      <c r="I261" t="n">
        <v>23961.51</v>
      </c>
      <c r="J261" t="n">
        <v>10862.27</v>
      </c>
    </row>
    <row r="262">
      <c r="A262" s="2" t="n">
        <v>45790</v>
      </c>
      <c r="B262" t="inlineStr">
        <is>
          <t>Smartphone X</t>
        </is>
      </c>
      <c r="C262" t="inlineStr">
        <is>
          <t>Electronics</t>
        </is>
      </c>
      <c r="D262" t="inlineStr">
        <is>
          <t>East</t>
        </is>
      </c>
      <c r="E262" t="inlineStr">
        <is>
          <t>Sarah Lee</t>
        </is>
      </c>
      <c r="F262" t="n">
        <v>36</v>
      </c>
      <c r="G262" t="n">
        <v>851.12</v>
      </c>
      <c r="H262" t="n">
        <v>30640.39</v>
      </c>
      <c r="I262" t="n">
        <v>22957.82</v>
      </c>
      <c r="J262" t="n">
        <v>7682.56</v>
      </c>
    </row>
    <row r="263">
      <c r="A263" s="2" t="n">
        <v>45791</v>
      </c>
      <c r="B263" t="inlineStr">
        <is>
          <t>Webcam HD</t>
        </is>
      </c>
      <c r="C263" t="inlineStr">
        <is>
          <t>Electronics</t>
        </is>
      </c>
      <c r="D263" t="inlineStr">
        <is>
          <t>South</t>
        </is>
      </c>
      <c r="E263" t="inlineStr">
        <is>
          <t>Mike Chen</t>
        </is>
      </c>
      <c r="F263" t="n">
        <v>41</v>
      </c>
      <c r="G263" t="n">
        <v>108.15</v>
      </c>
      <c r="H263" t="n">
        <v>4434.28</v>
      </c>
      <c r="I263" t="n">
        <v>2693.42</v>
      </c>
      <c r="J263" t="n">
        <v>1740.87</v>
      </c>
    </row>
    <row r="264">
      <c r="A264" s="2" t="n">
        <v>45792</v>
      </c>
      <c r="B264" t="inlineStr">
        <is>
          <t>Gaming Mouse</t>
        </is>
      </c>
      <c r="C264" t="inlineStr">
        <is>
          <t>Peripherals</t>
        </is>
      </c>
      <c r="D264" t="inlineStr">
        <is>
          <t>West</t>
        </is>
      </c>
      <c r="E264" t="inlineStr">
        <is>
          <t>Mike Chen</t>
        </is>
      </c>
      <c r="F264" t="n">
        <v>37</v>
      </c>
      <c r="G264" t="n">
        <v>84.86</v>
      </c>
      <c r="H264" t="n">
        <v>3139.77</v>
      </c>
      <c r="I264" t="n">
        <v>1844.03</v>
      </c>
      <c r="J264" t="n">
        <v>1295.74</v>
      </c>
    </row>
    <row r="265">
      <c r="A265" s="2" t="n">
        <v>45793</v>
      </c>
      <c r="B265" t="inlineStr">
        <is>
          <t>Portable SSD</t>
        </is>
      </c>
      <c r="C265" t="inlineStr">
        <is>
          <t>Accessories</t>
        </is>
      </c>
      <c r="D265" t="inlineStr">
        <is>
          <t>South</t>
        </is>
      </c>
      <c r="E265" t="inlineStr">
        <is>
          <t>Mike Chen</t>
        </is>
      </c>
      <c r="F265" t="n">
        <v>37</v>
      </c>
      <c r="G265" t="n">
        <v>156.99</v>
      </c>
      <c r="H265" t="n">
        <v>5808.76</v>
      </c>
      <c r="I265" t="n">
        <v>3347.66</v>
      </c>
      <c r="J265" t="n">
        <v>2461.09</v>
      </c>
    </row>
    <row r="266">
      <c r="A266" s="2" t="n">
        <v>45793</v>
      </c>
      <c r="B266" t="inlineStr">
        <is>
          <t>Wireless Keyboard</t>
        </is>
      </c>
      <c r="C266" t="inlineStr">
        <is>
          <t>Peripherals</t>
        </is>
      </c>
      <c r="D266" t="inlineStr">
        <is>
          <t>East</t>
        </is>
      </c>
      <c r="E266" t="inlineStr">
        <is>
          <t>Lisa Park</t>
        </is>
      </c>
      <c r="F266" t="n">
        <v>50</v>
      </c>
      <c r="G266" t="n">
        <v>102.65</v>
      </c>
      <c r="H266" t="n">
        <v>5132.62</v>
      </c>
      <c r="I266" t="n">
        <v>3779.69</v>
      </c>
      <c r="J266" t="n">
        <v>1352.93</v>
      </c>
    </row>
    <row r="267">
      <c r="A267" s="2" t="n">
        <v>45796</v>
      </c>
      <c r="B267" t="inlineStr">
        <is>
          <t>Gaming Mouse</t>
        </is>
      </c>
      <c r="C267" t="inlineStr">
        <is>
          <t>Mobile</t>
        </is>
      </c>
      <c r="D267" t="inlineStr">
        <is>
          <t>North</t>
        </is>
      </c>
      <c r="E267" t="inlineStr">
        <is>
          <t>Sarah Lee</t>
        </is>
      </c>
      <c r="F267" t="n">
        <v>46</v>
      </c>
      <c r="G267" t="n">
        <v>78.7</v>
      </c>
      <c r="H267" t="n">
        <v>3620.23</v>
      </c>
      <c r="I267" t="n">
        <v>2179.49</v>
      </c>
      <c r="J267" t="n">
        <v>1440.74</v>
      </c>
    </row>
    <row r="268">
      <c r="A268" s="2" t="n">
        <v>45797</v>
      </c>
      <c r="B268" t="inlineStr">
        <is>
          <t>Noise Headphones</t>
        </is>
      </c>
      <c r="C268" t="inlineStr">
        <is>
          <t>Electronics</t>
        </is>
      </c>
      <c r="D268" t="inlineStr">
        <is>
          <t>East</t>
        </is>
      </c>
      <c r="E268" t="inlineStr">
        <is>
          <t>Anna Kim</t>
        </is>
      </c>
      <c r="F268" t="n">
        <v>35</v>
      </c>
      <c r="G268" t="n">
        <v>259.16</v>
      </c>
      <c r="H268" t="n">
        <v>9070.77</v>
      </c>
      <c r="I268" t="n">
        <v>5797.86</v>
      </c>
      <c r="J268" t="n">
        <v>3272.91</v>
      </c>
    </row>
    <row r="269">
      <c r="A269" s="2" t="n">
        <v>45798</v>
      </c>
      <c r="B269" t="inlineStr">
        <is>
          <t>Tablet Air</t>
        </is>
      </c>
      <c r="C269" t="inlineStr">
        <is>
          <t>Peripherals</t>
        </is>
      </c>
      <c r="D269" t="inlineStr">
        <is>
          <t>North</t>
        </is>
      </c>
      <c r="E269" t="inlineStr">
        <is>
          <t>James Wilson</t>
        </is>
      </c>
      <c r="F269" t="n">
        <v>36</v>
      </c>
      <c r="G269" t="n">
        <v>587.64</v>
      </c>
      <c r="H269" t="n">
        <v>21154.96</v>
      </c>
      <c r="I269" t="n">
        <v>13527.34</v>
      </c>
      <c r="J269" t="n">
        <v>7627.62</v>
      </c>
    </row>
    <row r="270">
      <c r="A270" s="2" t="n">
        <v>45801</v>
      </c>
      <c r="B270" t="inlineStr">
        <is>
          <t>Tablet Air</t>
        </is>
      </c>
      <c r="C270" t="inlineStr">
        <is>
          <t>Peripherals</t>
        </is>
      </c>
      <c r="D270" t="inlineStr">
        <is>
          <t>East</t>
        </is>
      </c>
      <c r="E270" t="inlineStr">
        <is>
          <t>Sarah Lee</t>
        </is>
      </c>
      <c r="F270" t="n">
        <v>21</v>
      </c>
      <c r="G270" t="n">
        <v>555.8099999999999</v>
      </c>
      <c r="H270" t="n">
        <v>11671.96</v>
      </c>
      <c r="I270" t="n">
        <v>8114.3</v>
      </c>
      <c r="J270" t="n">
        <v>3557.66</v>
      </c>
    </row>
    <row r="271">
      <c r="A271" s="2" t="n">
        <v>45801</v>
      </c>
      <c r="B271" t="inlineStr">
        <is>
          <t>Webcam HD</t>
        </is>
      </c>
      <c r="C271" t="inlineStr">
        <is>
          <t>Accessories</t>
        </is>
      </c>
      <c r="D271" t="inlineStr">
        <is>
          <t>South</t>
        </is>
      </c>
      <c r="E271" t="inlineStr">
        <is>
          <t>Sarah Lee</t>
        </is>
      </c>
      <c r="F271" t="n">
        <v>33</v>
      </c>
      <c r="G271" t="n">
        <v>122.4</v>
      </c>
      <c r="H271" t="n">
        <v>4039.22</v>
      </c>
      <c r="I271" t="n">
        <v>2457.19</v>
      </c>
      <c r="J271" t="n">
        <v>1582.03</v>
      </c>
    </row>
    <row r="272">
      <c r="A272" s="2" t="n">
        <v>45802</v>
      </c>
      <c r="B272" t="inlineStr">
        <is>
          <t>Monitor 4K</t>
        </is>
      </c>
      <c r="C272" t="inlineStr">
        <is>
          <t>Electronics</t>
        </is>
      </c>
      <c r="D272" t="inlineStr">
        <is>
          <t>North</t>
        </is>
      </c>
      <c r="E272" t="inlineStr">
        <is>
          <t>John Smith</t>
        </is>
      </c>
      <c r="F272" t="n">
        <v>35</v>
      </c>
      <c r="G272" t="n">
        <v>401.61</v>
      </c>
      <c r="H272" t="n">
        <v>14056.46</v>
      </c>
      <c r="I272" t="n">
        <v>10126.78</v>
      </c>
      <c r="J272" t="n">
        <v>3929.68</v>
      </c>
    </row>
    <row r="273">
      <c r="A273" s="2" t="n">
        <v>45804</v>
      </c>
      <c r="B273" t="inlineStr">
        <is>
          <t>USB-C Hub</t>
        </is>
      </c>
      <c r="C273" t="inlineStr">
        <is>
          <t>Storage</t>
        </is>
      </c>
      <c r="D273" t="inlineStr">
        <is>
          <t>West</t>
        </is>
      </c>
      <c r="E273" t="inlineStr">
        <is>
          <t>Emma Davis</t>
        </is>
      </c>
      <c r="F273" t="n">
        <v>39</v>
      </c>
      <c r="G273" t="n">
        <v>57.71</v>
      </c>
      <c r="H273" t="n">
        <v>2250.86</v>
      </c>
      <c r="I273" t="n">
        <v>1604.32</v>
      </c>
      <c r="J273" t="n">
        <v>646.54</v>
      </c>
    </row>
    <row r="274">
      <c r="A274" s="2" t="n">
        <v>45810</v>
      </c>
      <c r="B274" t="inlineStr">
        <is>
          <t>Monitor 4K</t>
        </is>
      </c>
      <c r="C274" t="inlineStr">
        <is>
          <t>Accessories</t>
        </is>
      </c>
      <c r="D274" t="inlineStr">
        <is>
          <t>North</t>
        </is>
      </c>
      <c r="E274" t="inlineStr">
        <is>
          <t>Lisa Park</t>
        </is>
      </c>
      <c r="F274" t="n">
        <v>30</v>
      </c>
      <c r="G274" t="n">
        <v>361.15</v>
      </c>
      <c r="H274" t="n">
        <v>10834.54</v>
      </c>
      <c r="I274" t="n">
        <v>6210.52</v>
      </c>
      <c r="J274" t="n">
        <v>4624.03</v>
      </c>
    </row>
    <row r="275">
      <c r="A275" s="2" t="n">
        <v>45810</v>
      </c>
      <c r="B275" t="inlineStr">
        <is>
          <t>Monitor 4K</t>
        </is>
      </c>
      <c r="C275" t="inlineStr">
        <is>
          <t>Mobile</t>
        </is>
      </c>
      <c r="D275" t="inlineStr">
        <is>
          <t>East</t>
        </is>
      </c>
      <c r="E275" t="inlineStr">
        <is>
          <t>John Smith</t>
        </is>
      </c>
      <c r="F275" t="n">
        <v>37</v>
      </c>
      <c r="G275" t="n">
        <v>393.71</v>
      </c>
      <c r="H275" t="n">
        <v>14567.22</v>
      </c>
      <c r="I275" t="n">
        <v>10160.87</v>
      </c>
      <c r="J275" t="n">
        <v>4406.34</v>
      </c>
    </row>
    <row r="276">
      <c r="A276" s="2" t="n">
        <v>45812</v>
      </c>
      <c r="B276" t="inlineStr">
        <is>
          <t>Monitor 4K</t>
        </is>
      </c>
      <c r="C276" t="inlineStr">
        <is>
          <t>Electronics</t>
        </is>
      </c>
      <c r="D276" t="inlineStr">
        <is>
          <t>North</t>
        </is>
      </c>
      <c r="E276" t="inlineStr">
        <is>
          <t>Anna Kim</t>
        </is>
      </c>
      <c r="F276" t="n">
        <v>33</v>
      </c>
      <c r="G276" t="n">
        <v>374.76</v>
      </c>
      <c r="H276" t="n">
        <v>12367.02</v>
      </c>
      <c r="I276" t="n">
        <v>7697.81</v>
      </c>
      <c r="J276" t="n">
        <v>4669.2</v>
      </c>
    </row>
    <row r="277">
      <c r="A277" s="2" t="n">
        <v>45813</v>
      </c>
      <c r="B277" t="inlineStr">
        <is>
          <t>Tablet Air</t>
        </is>
      </c>
      <c r="C277" t="inlineStr">
        <is>
          <t>Mobile</t>
        </is>
      </c>
      <c r="D277" t="inlineStr">
        <is>
          <t>East</t>
        </is>
      </c>
      <c r="E277" t="inlineStr">
        <is>
          <t>Anna Kim</t>
        </is>
      </c>
      <c r="F277" t="n">
        <v>33</v>
      </c>
      <c r="G277" t="n">
        <v>561.04</v>
      </c>
      <c r="H277" t="n">
        <v>18514.2</v>
      </c>
      <c r="I277" t="n">
        <v>12737.79</v>
      </c>
      <c r="J277" t="n">
        <v>5776.41</v>
      </c>
    </row>
    <row r="278">
      <c r="A278" s="2" t="n">
        <v>45814</v>
      </c>
      <c r="B278" t="inlineStr">
        <is>
          <t>Tablet Air</t>
        </is>
      </c>
      <c r="C278" t="inlineStr">
        <is>
          <t>Mobile</t>
        </is>
      </c>
      <c r="D278" t="inlineStr">
        <is>
          <t>North</t>
        </is>
      </c>
      <c r="E278" t="inlineStr">
        <is>
          <t>Anna Kim</t>
        </is>
      </c>
      <c r="F278" t="n">
        <v>30</v>
      </c>
      <c r="G278" t="n">
        <v>566.1900000000001</v>
      </c>
      <c r="H278" t="n">
        <v>16985.71</v>
      </c>
      <c r="I278" t="n">
        <v>12569.3</v>
      </c>
      <c r="J278" t="n">
        <v>4416.42</v>
      </c>
    </row>
    <row r="279">
      <c r="A279" s="2" t="n">
        <v>45814</v>
      </c>
      <c r="B279" t="inlineStr">
        <is>
          <t>Gaming Mouse</t>
        </is>
      </c>
      <c r="C279" t="inlineStr">
        <is>
          <t>Storage</t>
        </is>
      </c>
      <c r="D279" t="inlineStr">
        <is>
          <t>North</t>
        </is>
      </c>
      <c r="E279" t="inlineStr">
        <is>
          <t>Emma Davis</t>
        </is>
      </c>
      <c r="F279" t="n">
        <v>42</v>
      </c>
      <c r="G279" t="n">
        <v>84.73999999999999</v>
      </c>
      <c r="H279" t="n">
        <v>3559.27</v>
      </c>
      <c r="I279" t="n">
        <v>2300.37</v>
      </c>
      <c r="J279" t="n">
        <v>1258.9</v>
      </c>
    </row>
    <row r="280">
      <c r="A280" s="2" t="n">
        <v>45815</v>
      </c>
      <c r="B280" t="inlineStr">
        <is>
          <t>Tablet Air</t>
        </is>
      </c>
      <c r="C280" t="inlineStr">
        <is>
          <t>Peripherals</t>
        </is>
      </c>
      <c r="D280" t="inlineStr">
        <is>
          <t>North</t>
        </is>
      </c>
      <c r="E280" t="inlineStr">
        <is>
          <t>Tom Brown</t>
        </is>
      </c>
      <c r="F280" t="n">
        <v>38</v>
      </c>
      <c r="G280" t="n">
        <v>622.58</v>
      </c>
      <c r="H280" t="n">
        <v>23657.89</v>
      </c>
      <c r="I280" t="n">
        <v>15082.4</v>
      </c>
      <c r="J280" t="n">
        <v>8575.5</v>
      </c>
    </row>
    <row r="281">
      <c r="A281" s="2" t="n">
        <v>45816</v>
      </c>
      <c r="B281" t="inlineStr">
        <is>
          <t>Webcam HD</t>
        </is>
      </c>
      <c r="C281" t="inlineStr">
        <is>
          <t>Peripherals</t>
        </is>
      </c>
      <c r="D281" t="inlineStr">
        <is>
          <t>West</t>
        </is>
      </c>
      <c r="E281" t="inlineStr">
        <is>
          <t>Tom Brown</t>
        </is>
      </c>
      <c r="F281" t="n">
        <v>26</v>
      </c>
      <c r="G281" t="n">
        <v>123.81</v>
      </c>
      <c r="H281" t="n">
        <v>3219.03</v>
      </c>
      <c r="I281" t="n">
        <v>2091.21</v>
      </c>
      <c r="J281" t="n">
        <v>1127.82</v>
      </c>
    </row>
    <row r="282">
      <c r="A282" s="2" t="n">
        <v>45816</v>
      </c>
      <c r="B282" t="inlineStr">
        <is>
          <t>Noise Headphones</t>
        </is>
      </c>
      <c r="C282" t="inlineStr">
        <is>
          <t>Electronics</t>
        </is>
      </c>
      <c r="D282" t="inlineStr">
        <is>
          <t>East</t>
        </is>
      </c>
      <c r="E282" t="inlineStr">
        <is>
          <t>Lisa Park</t>
        </is>
      </c>
      <c r="F282" t="n">
        <v>28</v>
      </c>
      <c r="G282" t="n">
        <v>262.53</v>
      </c>
      <c r="H282" t="n">
        <v>7350.86</v>
      </c>
      <c r="I282" t="n">
        <v>5229.16</v>
      </c>
      <c r="J282" t="n">
        <v>2121.7</v>
      </c>
    </row>
    <row r="283">
      <c r="A283" s="2" t="n">
        <v>45816</v>
      </c>
      <c r="B283" t="inlineStr">
        <is>
          <t>Tablet Air</t>
        </is>
      </c>
      <c r="C283" t="inlineStr">
        <is>
          <t>Accessories</t>
        </is>
      </c>
      <c r="D283" t="inlineStr">
        <is>
          <t>North</t>
        </is>
      </c>
      <c r="E283" t="inlineStr">
        <is>
          <t>Mike Chen</t>
        </is>
      </c>
      <c r="F283" t="n">
        <v>30</v>
      </c>
      <c r="G283" t="n">
        <v>633.66</v>
      </c>
      <c r="H283" t="n">
        <v>19009.89</v>
      </c>
      <c r="I283" t="n">
        <v>11500.25</v>
      </c>
      <c r="J283" t="n">
        <v>7509.64</v>
      </c>
    </row>
    <row r="284">
      <c r="A284" s="2" t="n">
        <v>45819</v>
      </c>
      <c r="B284" t="inlineStr">
        <is>
          <t>Webcam HD</t>
        </is>
      </c>
      <c r="C284" t="inlineStr">
        <is>
          <t>Storage</t>
        </is>
      </c>
      <c r="D284" t="inlineStr">
        <is>
          <t>Central</t>
        </is>
      </c>
      <c r="E284" t="inlineStr">
        <is>
          <t>John Smith</t>
        </is>
      </c>
      <c r="F284" t="n">
        <v>35</v>
      </c>
      <c r="G284" t="n">
        <v>122.08</v>
      </c>
      <c r="H284" t="n">
        <v>4272.75</v>
      </c>
      <c r="I284" t="n">
        <v>2493.59</v>
      </c>
      <c r="J284" t="n">
        <v>1779.16</v>
      </c>
    </row>
    <row r="285">
      <c r="A285" s="2" t="n">
        <v>45820</v>
      </c>
      <c r="B285" t="inlineStr">
        <is>
          <t>Tablet Air</t>
        </is>
      </c>
      <c r="C285" t="inlineStr">
        <is>
          <t>Peripherals</t>
        </is>
      </c>
      <c r="D285" t="inlineStr">
        <is>
          <t>North</t>
        </is>
      </c>
      <c r="E285" t="inlineStr">
        <is>
          <t>Tom Brown</t>
        </is>
      </c>
      <c r="F285" t="n">
        <v>31</v>
      </c>
      <c r="G285" t="n">
        <v>561.74</v>
      </c>
      <c r="H285" t="n">
        <v>17413.88</v>
      </c>
      <c r="I285" t="n">
        <v>11949.81</v>
      </c>
      <c r="J285" t="n">
        <v>5464.06</v>
      </c>
    </row>
    <row r="286">
      <c r="A286" s="2" t="n">
        <v>45820</v>
      </c>
      <c r="B286" t="inlineStr">
        <is>
          <t>Smartphone X</t>
        </is>
      </c>
      <c r="C286" t="inlineStr">
        <is>
          <t>Storage</t>
        </is>
      </c>
      <c r="D286" t="inlineStr">
        <is>
          <t>West</t>
        </is>
      </c>
      <c r="E286" t="inlineStr">
        <is>
          <t>James Wilson</t>
        </is>
      </c>
      <c r="F286" t="n">
        <v>30</v>
      </c>
      <c r="G286" t="n">
        <v>887.5599999999999</v>
      </c>
      <c r="H286" t="n">
        <v>26626.79</v>
      </c>
      <c r="I286" t="n">
        <v>15969.23</v>
      </c>
      <c r="J286" t="n">
        <v>10657.56</v>
      </c>
    </row>
    <row r="287">
      <c r="A287" s="2" t="n">
        <v>45821</v>
      </c>
      <c r="B287" t="inlineStr">
        <is>
          <t>USB-C Hub</t>
        </is>
      </c>
      <c r="C287" t="inlineStr">
        <is>
          <t>Electronics</t>
        </is>
      </c>
      <c r="D287" t="inlineStr">
        <is>
          <t>North</t>
        </is>
      </c>
      <c r="E287" t="inlineStr">
        <is>
          <t>Tom Brown</t>
        </is>
      </c>
      <c r="F287" t="n">
        <v>38</v>
      </c>
      <c r="G287" t="n">
        <v>56.01</v>
      </c>
      <c r="H287" t="n">
        <v>2128.37</v>
      </c>
      <c r="I287" t="n">
        <v>1215.12</v>
      </c>
      <c r="J287" t="n">
        <v>913.26</v>
      </c>
    </row>
    <row r="288">
      <c r="A288" s="2" t="n">
        <v>45822</v>
      </c>
      <c r="B288" t="inlineStr">
        <is>
          <t>Smartphone X</t>
        </is>
      </c>
      <c r="C288" t="inlineStr">
        <is>
          <t>Mobile</t>
        </is>
      </c>
      <c r="D288" t="inlineStr">
        <is>
          <t>South</t>
        </is>
      </c>
      <c r="E288" t="inlineStr">
        <is>
          <t>Tom Brown</t>
        </is>
      </c>
      <c r="F288" t="n">
        <v>35</v>
      </c>
      <c r="G288" t="n">
        <v>981.88</v>
      </c>
      <c r="H288" t="n">
        <v>34365.65</v>
      </c>
      <c r="I288" t="n">
        <v>23972.77</v>
      </c>
      <c r="J288" t="n">
        <v>10392.88</v>
      </c>
    </row>
    <row r="289">
      <c r="A289" s="2" t="n">
        <v>45823</v>
      </c>
      <c r="B289" t="inlineStr">
        <is>
          <t>Tablet Air</t>
        </is>
      </c>
      <c r="C289" t="inlineStr">
        <is>
          <t>Mobile</t>
        </is>
      </c>
      <c r="D289" t="inlineStr">
        <is>
          <t>North</t>
        </is>
      </c>
      <c r="E289" t="inlineStr">
        <is>
          <t>Lisa Park</t>
        </is>
      </c>
      <c r="F289" t="n">
        <v>26</v>
      </c>
      <c r="G289" t="n">
        <v>633.6900000000001</v>
      </c>
      <c r="H289" t="n">
        <v>16475.98</v>
      </c>
      <c r="I289" t="n">
        <v>10576.92</v>
      </c>
      <c r="J289" t="n">
        <v>5899.06</v>
      </c>
    </row>
    <row r="290">
      <c r="A290" s="2" t="n">
        <v>45823</v>
      </c>
      <c r="B290" t="inlineStr">
        <is>
          <t>Gaming Mouse</t>
        </is>
      </c>
      <c r="C290" t="inlineStr">
        <is>
          <t>Mobile</t>
        </is>
      </c>
      <c r="D290" t="inlineStr">
        <is>
          <t>East</t>
        </is>
      </c>
      <c r="E290" t="inlineStr">
        <is>
          <t>John Smith</t>
        </is>
      </c>
      <c r="F290" t="n">
        <v>32</v>
      </c>
      <c r="G290" t="n">
        <v>82.13</v>
      </c>
      <c r="H290" t="n">
        <v>2628.3</v>
      </c>
      <c r="I290" t="n">
        <v>1571.8</v>
      </c>
      <c r="J290" t="n">
        <v>1056.5</v>
      </c>
    </row>
    <row r="291">
      <c r="A291" s="2" t="n">
        <v>45824</v>
      </c>
      <c r="B291" t="inlineStr">
        <is>
          <t>Gaming Mouse</t>
        </is>
      </c>
      <c r="C291" t="inlineStr">
        <is>
          <t>Accessories</t>
        </is>
      </c>
      <c r="D291" t="inlineStr">
        <is>
          <t>West</t>
        </is>
      </c>
      <c r="E291" t="inlineStr">
        <is>
          <t>John Smith</t>
        </is>
      </c>
      <c r="F291" t="n">
        <v>42</v>
      </c>
      <c r="G291" t="n">
        <v>87.2</v>
      </c>
      <c r="H291" t="n">
        <v>3662.56</v>
      </c>
      <c r="I291" t="n">
        <v>2341.11</v>
      </c>
      <c r="J291" t="n">
        <v>1321.45</v>
      </c>
    </row>
    <row r="292">
      <c r="A292" s="2" t="n">
        <v>45826</v>
      </c>
      <c r="B292" t="inlineStr">
        <is>
          <t>Noise Headphones</t>
        </is>
      </c>
      <c r="C292" t="inlineStr">
        <is>
          <t>Mobile</t>
        </is>
      </c>
      <c r="D292" t="inlineStr">
        <is>
          <t>West</t>
        </is>
      </c>
      <c r="E292" t="inlineStr">
        <is>
          <t>Emma Davis</t>
        </is>
      </c>
      <c r="F292" t="n">
        <v>27</v>
      </c>
      <c r="G292" t="n">
        <v>247.91</v>
      </c>
      <c r="H292" t="n">
        <v>6693.55</v>
      </c>
      <c r="I292" t="n">
        <v>4328.01</v>
      </c>
      <c r="J292" t="n">
        <v>2365.54</v>
      </c>
    </row>
    <row r="293">
      <c r="A293" s="2" t="n">
        <v>45827</v>
      </c>
      <c r="B293" t="inlineStr">
        <is>
          <t>Noise Headphones</t>
        </is>
      </c>
      <c r="C293" t="inlineStr">
        <is>
          <t>Accessories</t>
        </is>
      </c>
      <c r="D293" t="inlineStr">
        <is>
          <t>South</t>
        </is>
      </c>
      <c r="E293" t="inlineStr">
        <is>
          <t>Tom Brown</t>
        </is>
      </c>
      <c r="F293" t="n">
        <v>31</v>
      </c>
      <c r="G293" t="n">
        <v>265.87</v>
      </c>
      <c r="H293" t="n">
        <v>8242.040000000001</v>
      </c>
      <c r="I293" t="n">
        <v>5096.57</v>
      </c>
      <c r="J293" t="n">
        <v>3145.46</v>
      </c>
    </row>
    <row r="294">
      <c r="A294" s="2" t="n">
        <v>45827</v>
      </c>
      <c r="B294" t="inlineStr">
        <is>
          <t>Wireless Keyboard</t>
        </is>
      </c>
      <c r="C294" t="inlineStr">
        <is>
          <t>Storage</t>
        </is>
      </c>
      <c r="D294" t="inlineStr">
        <is>
          <t>North</t>
        </is>
      </c>
      <c r="E294" t="inlineStr">
        <is>
          <t>Sarah Lee</t>
        </is>
      </c>
      <c r="F294" t="n">
        <v>31</v>
      </c>
      <c r="G294" t="n">
        <v>104.47</v>
      </c>
      <c r="H294" t="n">
        <v>3238.52</v>
      </c>
      <c r="I294" t="n">
        <v>2102.37</v>
      </c>
      <c r="J294" t="n">
        <v>1136.15</v>
      </c>
    </row>
    <row r="295">
      <c r="A295" s="2" t="n">
        <v>45832</v>
      </c>
      <c r="B295" t="inlineStr">
        <is>
          <t>Laptop Pro</t>
        </is>
      </c>
      <c r="C295" t="inlineStr">
        <is>
          <t>Storage</t>
        </is>
      </c>
      <c r="D295" t="inlineStr">
        <is>
          <t>East</t>
        </is>
      </c>
      <c r="E295" t="inlineStr">
        <is>
          <t>Anna Kim</t>
        </is>
      </c>
      <c r="F295" t="n">
        <v>24</v>
      </c>
      <c r="G295" t="n">
        <v>1143.65</v>
      </c>
      <c r="H295" t="n">
        <v>27447.57</v>
      </c>
      <c r="I295" t="n">
        <v>16435.55</v>
      </c>
      <c r="J295" t="n">
        <v>11012.02</v>
      </c>
    </row>
    <row r="296">
      <c r="A296" s="2" t="n">
        <v>45833</v>
      </c>
      <c r="B296" t="inlineStr">
        <is>
          <t>Tablet Air</t>
        </is>
      </c>
      <c r="C296" t="inlineStr">
        <is>
          <t>Accessories</t>
        </is>
      </c>
      <c r="D296" t="inlineStr">
        <is>
          <t>Central</t>
        </is>
      </c>
      <c r="E296" t="inlineStr">
        <is>
          <t>Lisa Park</t>
        </is>
      </c>
      <c r="F296" t="n">
        <v>31</v>
      </c>
      <c r="G296" t="n">
        <v>658.08</v>
      </c>
      <c r="H296" t="n">
        <v>20400.4</v>
      </c>
      <c r="I296" t="n">
        <v>12890.33</v>
      </c>
      <c r="J296" t="n">
        <v>7510.06</v>
      </c>
    </row>
    <row r="297">
      <c r="A297" s="2" t="n">
        <v>45833</v>
      </c>
      <c r="B297" t="inlineStr">
        <is>
          <t>Gaming Mouse</t>
        </is>
      </c>
      <c r="C297" t="inlineStr">
        <is>
          <t>Peripherals</t>
        </is>
      </c>
      <c r="D297" t="inlineStr">
        <is>
          <t>East</t>
        </is>
      </c>
      <c r="E297" t="inlineStr">
        <is>
          <t>James Wilson</t>
        </is>
      </c>
      <c r="F297" t="n">
        <v>29</v>
      </c>
      <c r="G297" t="n">
        <v>82.95</v>
      </c>
      <c r="H297" t="n">
        <v>2405.48</v>
      </c>
      <c r="I297" t="n">
        <v>1534.77</v>
      </c>
      <c r="J297" t="n">
        <v>870.71</v>
      </c>
    </row>
    <row r="298">
      <c r="A298" s="2" t="n">
        <v>45834</v>
      </c>
      <c r="B298" t="inlineStr">
        <is>
          <t>Noise Headphones</t>
        </is>
      </c>
      <c r="C298" t="inlineStr">
        <is>
          <t>Accessories</t>
        </is>
      </c>
      <c r="D298" t="inlineStr">
        <is>
          <t>West</t>
        </is>
      </c>
      <c r="E298" t="inlineStr">
        <is>
          <t>John Smith</t>
        </is>
      </c>
      <c r="F298" t="n">
        <v>33</v>
      </c>
      <c r="G298" t="n">
        <v>245.04</v>
      </c>
      <c r="H298" t="n">
        <v>8086.26</v>
      </c>
      <c r="I298" t="n">
        <v>5352.52</v>
      </c>
      <c r="J298" t="n">
        <v>2733.74</v>
      </c>
    </row>
    <row r="299">
      <c r="A299" s="2" t="n">
        <v>45834</v>
      </c>
      <c r="B299" t="inlineStr">
        <is>
          <t>Smartphone X</t>
        </is>
      </c>
      <c r="C299" t="inlineStr">
        <is>
          <t>Mobile</t>
        </is>
      </c>
      <c r="D299" t="inlineStr">
        <is>
          <t>East</t>
        </is>
      </c>
      <c r="E299" t="inlineStr">
        <is>
          <t>Anna Kim</t>
        </is>
      </c>
      <c r="F299" t="n">
        <v>31</v>
      </c>
      <c r="G299" t="n">
        <v>935.28</v>
      </c>
      <c r="H299" t="n">
        <v>28993.8</v>
      </c>
      <c r="I299" t="n">
        <v>16838.99</v>
      </c>
      <c r="J299" t="n">
        <v>12154.8</v>
      </c>
    </row>
    <row r="300">
      <c r="A300" s="2" t="n">
        <v>45835</v>
      </c>
      <c r="B300" t="inlineStr">
        <is>
          <t>Tablet Air</t>
        </is>
      </c>
      <c r="C300" t="inlineStr">
        <is>
          <t>Mobile</t>
        </is>
      </c>
      <c r="D300" t="inlineStr">
        <is>
          <t>West</t>
        </is>
      </c>
      <c r="E300" t="inlineStr">
        <is>
          <t>Mike Chen</t>
        </is>
      </c>
      <c r="F300" t="n">
        <v>35</v>
      </c>
      <c r="G300" t="n">
        <v>560.05</v>
      </c>
      <c r="H300" t="n">
        <v>19601.58</v>
      </c>
      <c r="I300" t="n">
        <v>11437.99</v>
      </c>
      <c r="J300" t="n">
        <v>8163.59</v>
      </c>
    </row>
    <row r="301">
      <c r="A301" s="2" t="n">
        <v>45836</v>
      </c>
      <c r="B301" t="inlineStr">
        <is>
          <t>Monitor 4K</t>
        </is>
      </c>
      <c r="C301" t="inlineStr">
        <is>
          <t>Storage</t>
        </is>
      </c>
      <c r="D301" t="inlineStr">
        <is>
          <t>East</t>
        </is>
      </c>
      <c r="E301" t="inlineStr">
        <is>
          <t>Lisa Park</t>
        </is>
      </c>
      <c r="F301" t="n">
        <v>35</v>
      </c>
      <c r="G301" t="n">
        <v>410.89</v>
      </c>
      <c r="H301" t="n">
        <v>14381.3</v>
      </c>
      <c r="I301" t="n">
        <v>10169.45</v>
      </c>
      <c r="J301" t="n">
        <v>4211.85</v>
      </c>
    </row>
    <row r="302">
      <c r="A302" s="2" t="n">
        <v>45837</v>
      </c>
      <c r="B302" t="inlineStr">
        <is>
          <t>Smartphone X</t>
        </is>
      </c>
      <c r="C302" t="inlineStr">
        <is>
          <t>Storage</t>
        </is>
      </c>
      <c r="D302" t="inlineStr">
        <is>
          <t>South</t>
        </is>
      </c>
      <c r="E302" t="inlineStr">
        <is>
          <t>Mike Chen</t>
        </is>
      </c>
      <c r="F302" t="n">
        <v>39</v>
      </c>
      <c r="G302" t="n">
        <v>865.13</v>
      </c>
      <c r="H302" t="n">
        <v>33739.9</v>
      </c>
      <c r="I302" t="n">
        <v>22766.98</v>
      </c>
      <c r="J302" t="n">
        <v>10972.92</v>
      </c>
    </row>
    <row r="303">
      <c r="A303" s="2" t="n">
        <v>45837</v>
      </c>
      <c r="B303" t="inlineStr">
        <is>
          <t>Portable SSD</t>
        </is>
      </c>
      <c r="C303" t="inlineStr">
        <is>
          <t>Storage</t>
        </is>
      </c>
      <c r="D303" t="inlineStr">
        <is>
          <t>South</t>
        </is>
      </c>
      <c r="E303" t="inlineStr">
        <is>
          <t>Mike Chen</t>
        </is>
      </c>
      <c r="F303" t="n">
        <v>23</v>
      </c>
      <c r="G303" t="n">
        <v>137.18</v>
      </c>
      <c r="H303" t="n">
        <v>3155.21</v>
      </c>
      <c r="I303" t="n">
        <v>2253.99</v>
      </c>
      <c r="J303" t="n">
        <v>901.22</v>
      </c>
    </row>
    <row r="304">
      <c r="A304" s="2" t="n">
        <v>45838</v>
      </c>
      <c r="B304" t="inlineStr">
        <is>
          <t>Smartphone X</t>
        </is>
      </c>
      <c r="C304" t="inlineStr">
        <is>
          <t>Accessories</t>
        </is>
      </c>
      <c r="D304" t="inlineStr">
        <is>
          <t>East</t>
        </is>
      </c>
      <c r="E304" t="inlineStr">
        <is>
          <t>John Smith</t>
        </is>
      </c>
      <c r="F304" t="n">
        <v>40</v>
      </c>
      <c r="G304" t="n">
        <v>956.6</v>
      </c>
      <c r="H304" t="n">
        <v>38264.17</v>
      </c>
      <c r="I304" t="n">
        <v>23202.28</v>
      </c>
      <c r="J304" t="n">
        <v>15061.89</v>
      </c>
    </row>
    <row r="305">
      <c r="A305" s="2" t="n">
        <v>45838</v>
      </c>
      <c r="B305" t="inlineStr">
        <is>
          <t>Noise Headphones</t>
        </is>
      </c>
      <c r="C305" t="inlineStr">
        <is>
          <t>Mobile</t>
        </is>
      </c>
      <c r="D305" t="inlineStr">
        <is>
          <t>West</t>
        </is>
      </c>
      <c r="E305" t="inlineStr">
        <is>
          <t>James Wilson</t>
        </is>
      </c>
      <c r="F305" t="n">
        <v>32</v>
      </c>
      <c r="G305" t="n">
        <v>236.44</v>
      </c>
      <c r="H305" t="n">
        <v>7566.08</v>
      </c>
      <c r="I305" t="n">
        <v>4277.83</v>
      </c>
      <c r="J305" t="n">
        <v>3288.25</v>
      </c>
    </row>
    <row r="306">
      <c r="A306" s="2" t="n">
        <v>45839</v>
      </c>
      <c r="B306" t="inlineStr">
        <is>
          <t>Webcam HD</t>
        </is>
      </c>
      <c r="C306" t="inlineStr">
        <is>
          <t>Accessories</t>
        </is>
      </c>
      <c r="D306" t="inlineStr">
        <is>
          <t>West</t>
        </is>
      </c>
      <c r="E306" t="inlineStr">
        <is>
          <t>Anna Kim</t>
        </is>
      </c>
      <c r="F306" t="n">
        <v>27</v>
      </c>
      <c r="G306" t="n">
        <v>125.19</v>
      </c>
      <c r="H306" t="n">
        <v>3380.07</v>
      </c>
      <c r="I306" t="n">
        <v>2043.33</v>
      </c>
      <c r="J306" t="n">
        <v>1336.73</v>
      </c>
    </row>
    <row r="307">
      <c r="A307" s="2" t="n">
        <v>45843</v>
      </c>
      <c r="B307" t="inlineStr">
        <is>
          <t>Portable SSD</t>
        </is>
      </c>
      <c r="C307" t="inlineStr">
        <is>
          <t>Electronics</t>
        </is>
      </c>
      <c r="D307" t="inlineStr">
        <is>
          <t>West</t>
        </is>
      </c>
      <c r="E307" t="inlineStr">
        <is>
          <t>Lisa Park</t>
        </is>
      </c>
      <c r="F307" t="n">
        <v>28</v>
      </c>
      <c r="G307" t="n">
        <v>146.66</v>
      </c>
      <c r="H307" t="n">
        <v>4106.39</v>
      </c>
      <c r="I307" t="n">
        <v>2627.02</v>
      </c>
      <c r="J307" t="n">
        <v>1479.37</v>
      </c>
    </row>
    <row r="308">
      <c r="A308" s="2" t="n">
        <v>45847</v>
      </c>
      <c r="B308" t="inlineStr">
        <is>
          <t>Smartphone X</t>
        </is>
      </c>
      <c r="C308" t="inlineStr">
        <is>
          <t>Mobile</t>
        </is>
      </c>
      <c r="D308" t="inlineStr">
        <is>
          <t>North</t>
        </is>
      </c>
      <c r="E308" t="inlineStr">
        <is>
          <t>Sarah Lee</t>
        </is>
      </c>
      <c r="F308" t="n">
        <v>32</v>
      </c>
      <c r="G308" t="n">
        <v>984.58</v>
      </c>
      <c r="H308" t="n">
        <v>31506.71</v>
      </c>
      <c r="I308" t="n">
        <v>22635.17</v>
      </c>
      <c r="J308" t="n">
        <v>8871.540000000001</v>
      </c>
    </row>
    <row r="309">
      <c r="A309" s="2" t="n">
        <v>45849</v>
      </c>
      <c r="B309" t="inlineStr">
        <is>
          <t>USB-C Hub</t>
        </is>
      </c>
      <c r="C309" t="inlineStr">
        <is>
          <t>Peripherals</t>
        </is>
      </c>
      <c r="D309" t="inlineStr">
        <is>
          <t>South</t>
        </is>
      </c>
      <c r="E309" t="inlineStr">
        <is>
          <t>Lisa Park</t>
        </is>
      </c>
      <c r="F309" t="n">
        <v>25</v>
      </c>
      <c r="G309" t="n">
        <v>54.77</v>
      </c>
      <c r="H309" t="n">
        <v>1369.26</v>
      </c>
      <c r="I309" t="n">
        <v>912.47</v>
      </c>
      <c r="J309" t="n">
        <v>456.79</v>
      </c>
    </row>
    <row r="310">
      <c r="A310" s="2" t="n">
        <v>45849</v>
      </c>
      <c r="B310" t="inlineStr">
        <is>
          <t>Wireless Keyboard</t>
        </is>
      </c>
      <c r="C310" t="inlineStr">
        <is>
          <t>Peripherals</t>
        </is>
      </c>
      <c r="D310" t="inlineStr">
        <is>
          <t>West</t>
        </is>
      </c>
      <c r="E310" t="inlineStr">
        <is>
          <t>Lisa Park</t>
        </is>
      </c>
      <c r="F310" t="n">
        <v>33</v>
      </c>
      <c r="G310" t="n">
        <v>97.19</v>
      </c>
      <c r="H310" t="n">
        <v>3207.26</v>
      </c>
      <c r="I310" t="n">
        <v>1952.32</v>
      </c>
      <c r="J310" t="n">
        <v>1254.94</v>
      </c>
    </row>
    <row r="311">
      <c r="A311" s="2" t="n">
        <v>45849</v>
      </c>
      <c r="B311" t="inlineStr">
        <is>
          <t>Tablet Air</t>
        </is>
      </c>
      <c r="C311" t="inlineStr">
        <is>
          <t>Peripherals</t>
        </is>
      </c>
      <c r="D311" t="inlineStr">
        <is>
          <t>South</t>
        </is>
      </c>
      <c r="E311" t="inlineStr">
        <is>
          <t>Tom Brown</t>
        </is>
      </c>
      <c r="F311" t="n">
        <v>32</v>
      </c>
      <c r="G311" t="n">
        <v>594.5700000000001</v>
      </c>
      <c r="H311" t="n">
        <v>19026.2</v>
      </c>
      <c r="I311" t="n">
        <v>12426.38</v>
      </c>
      <c r="J311" t="n">
        <v>6599.82</v>
      </c>
    </row>
    <row r="312">
      <c r="A312" s="2" t="n">
        <v>45851</v>
      </c>
      <c r="B312" t="inlineStr">
        <is>
          <t>Webcam HD</t>
        </is>
      </c>
      <c r="C312" t="inlineStr">
        <is>
          <t>Peripherals</t>
        </is>
      </c>
      <c r="D312" t="inlineStr">
        <is>
          <t>South</t>
        </is>
      </c>
      <c r="E312" t="inlineStr">
        <is>
          <t>Sarah Lee</t>
        </is>
      </c>
      <c r="F312" t="n">
        <v>32</v>
      </c>
      <c r="G312" t="n">
        <v>131.71</v>
      </c>
      <c r="H312" t="n">
        <v>4214.62</v>
      </c>
      <c r="I312" t="n">
        <v>2433.05</v>
      </c>
      <c r="J312" t="n">
        <v>1781.57</v>
      </c>
    </row>
    <row r="313">
      <c r="A313" s="2" t="n">
        <v>45854</v>
      </c>
      <c r="B313" t="inlineStr">
        <is>
          <t>Portable SSD</t>
        </is>
      </c>
      <c r="C313" t="inlineStr">
        <is>
          <t>Electronics</t>
        </is>
      </c>
      <c r="D313" t="inlineStr">
        <is>
          <t>Central</t>
        </is>
      </c>
      <c r="E313" t="inlineStr">
        <is>
          <t>John Smith</t>
        </is>
      </c>
      <c r="F313" t="n">
        <v>35</v>
      </c>
      <c r="G313" t="n">
        <v>144.71</v>
      </c>
      <c r="H313" t="n">
        <v>5064.86</v>
      </c>
      <c r="I313" t="n">
        <v>3216.63</v>
      </c>
      <c r="J313" t="n">
        <v>1848.23</v>
      </c>
    </row>
    <row r="314">
      <c r="A314" s="2" t="n">
        <v>45854</v>
      </c>
      <c r="B314" t="inlineStr">
        <is>
          <t>Gaming Mouse</t>
        </is>
      </c>
      <c r="C314" t="inlineStr">
        <is>
          <t>Accessories</t>
        </is>
      </c>
      <c r="D314" t="inlineStr">
        <is>
          <t>North</t>
        </is>
      </c>
      <c r="E314" t="inlineStr">
        <is>
          <t>Sarah Lee</t>
        </is>
      </c>
      <c r="F314" t="n">
        <v>32</v>
      </c>
      <c r="G314" t="n">
        <v>82.14</v>
      </c>
      <c r="H314" t="n">
        <v>2628.61</v>
      </c>
      <c r="I314" t="n">
        <v>1729.62</v>
      </c>
      <c r="J314" t="n">
        <v>898.99</v>
      </c>
    </row>
    <row r="315">
      <c r="A315" s="2" t="n">
        <v>45856</v>
      </c>
      <c r="B315" t="inlineStr">
        <is>
          <t>Webcam HD</t>
        </is>
      </c>
      <c r="C315" t="inlineStr">
        <is>
          <t>Electronics</t>
        </is>
      </c>
      <c r="D315" t="inlineStr">
        <is>
          <t>South</t>
        </is>
      </c>
      <c r="E315" t="inlineStr">
        <is>
          <t>Emma Davis</t>
        </is>
      </c>
      <c r="F315" t="n">
        <v>28</v>
      </c>
      <c r="G315" t="n">
        <v>125.42</v>
      </c>
      <c r="H315" t="n">
        <v>3511.84</v>
      </c>
      <c r="I315" t="n">
        <v>2561.62</v>
      </c>
      <c r="J315" t="n">
        <v>950.23</v>
      </c>
    </row>
    <row r="316">
      <c r="A316" s="2" t="n">
        <v>45857</v>
      </c>
      <c r="B316" t="inlineStr">
        <is>
          <t>Gaming Mouse</t>
        </is>
      </c>
      <c r="C316" t="inlineStr">
        <is>
          <t>Mobile</t>
        </is>
      </c>
      <c r="D316" t="inlineStr">
        <is>
          <t>South</t>
        </is>
      </c>
      <c r="E316" t="inlineStr">
        <is>
          <t>John Smith</t>
        </is>
      </c>
      <c r="F316" t="n">
        <v>24</v>
      </c>
      <c r="G316" t="n">
        <v>86.98</v>
      </c>
      <c r="H316" t="n">
        <v>2087.48</v>
      </c>
      <c r="I316" t="n">
        <v>1438.71</v>
      </c>
      <c r="J316" t="n">
        <v>648.78</v>
      </c>
    </row>
    <row r="317">
      <c r="A317" s="2" t="n">
        <v>45858</v>
      </c>
      <c r="B317" t="inlineStr">
        <is>
          <t>Noise Headphones</t>
        </is>
      </c>
      <c r="C317" t="inlineStr">
        <is>
          <t>Peripherals</t>
        </is>
      </c>
      <c r="D317" t="inlineStr">
        <is>
          <t>North</t>
        </is>
      </c>
      <c r="E317" t="inlineStr">
        <is>
          <t>Tom Brown</t>
        </is>
      </c>
      <c r="F317" t="n">
        <v>46</v>
      </c>
      <c r="G317" t="n">
        <v>268.43</v>
      </c>
      <c r="H317" t="n">
        <v>12347.83</v>
      </c>
      <c r="I317" t="n">
        <v>8709.17</v>
      </c>
      <c r="J317" t="n">
        <v>3638.67</v>
      </c>
    </row>
    <row r="318">
      <c r="A318" s="2" t="n">
        <v>45858</v>
      </c>
      <c r="B318" t="inlineStr">
        <is>
          <t>Monitor 4K</t>
        </is>
      </c>
      <c r="C318" t="inlineStr">
        <is>
          <t>Peripherals</t>
        </is>
      </c>
      <c r="D318" t="inlineStr">
        <is>
          <t>Central</t>
        </is>
      </c>
      <c r="E318" t="inlineStr">
        <is>
          <t>Lisa Park</t>
        </is>
      </c>
      <c r="F318" t="n">
        <v>31</v>
      </c>
      <c r="G318" t="n">
        <v>381.54</v>
      </c>
      <c r="H318" t="n">
        <v>11827.72</v>
      </c>
      <c r="I318" t="n">
        <v>7397.73</v>
      </c>
      <c r="J318" t="n">
        <v>4429.99</v>
      </c>
    </row>
    <row r="319">
      <c r="A319" s="2" t="n">
        <v>45859</v>
      </c>
      <c r="B319" t="inlineStr">
        <is>
          <t>Tablet Air</t>
        </is>
      </c>
      <c r="C319" t="inlineStr">
        <is>
          <t>Electronics</t>
        </is>
      </c>
      <c r="D319" t="inlineStr">
        <is>
          <t>East</t>
        </is>
      </c>
      <c r="E319" t="inlineStr">
        <is>
          <t>James Wilson</t>
        </is>
      </c>
      <c r="F319" t="n">
        <v>27</v>
      </c>
      <c r="G319" t="n">
        <v>586.7</v>
      </c>
      <c r="H319" t="n">
        <v>15841.01</v>
      </c>
      <c r="I319" t="n">
        <v>8746.889999999999</v>
      </c>
      <c r="J319" t="n">
        <v>7094.12</v>
      </c>
    </row>
    <row r="320">
      <c r="A320" s="2" t="n">
        <v>45863</v>
      </c>
      <c r="B320" t="inlineStr">
        <is>
          <t>Smartphone X</t>
        </is>
      </c>
      <c r="C320" t="inlineStr">
        <is>
          <t>Electronics</t>
        </is>
      </c>
      <c r="D320" t="inlineStr">
        <is>
          <t>South</t>
        </is>
      </c>
      <c r="E320" t="inlineStr">
        <is>
          <t>Lisa Park</t>
        </is>
      </c>
      <c r="F320" t="n">
        <v>41</v>
      </c>
      <c r="G320" t="n">
        <v>881.88</v>
      </c>
      <c r="H320" t="n">
        <v>36156.95</v>
      </c>
      <c r="I320" t="n">
        <v>20988.5</v>
      </c>
      <c r="J320" t="n">
        <v>15168.45</v>
      </c>
    </row>
    <row r="321">
      <c r="A321" s="2" t="n">
        <v>45864</v>
      </c>
      <c r="B321" t="inlineStr">
        <is>
          <t>Portable SSD</t>
        </is>
      </c>
      <c r="C321" t="inlineStr">
        <is>
          <t>Electronics</t>
        </is>
      </c>
      <c r="D321" t="inlineStr">
        <is>
          <t>North</t>
        </is>
      </c>
      <c r="E321" t="inlineStr">
        <is>
          <t>John Smith</t>
        </is>
      </c>
      <c r="F321" t="n">
        <v>22</v>
      </c>
      <c r="G321" t="n">
        <v>162.01</v>
      </c>
      <c r="H321" t="n">
        <v>3564.28</v>
      </c>
      <c r="I321" t="n">
        <v>2411.66</v>
      </c>
      <c r="J321" t="n">
        <v>1152.61</v>
      </c>
    </row>
    <row r="322">
      <c r="A322" s="2" t="n">
        <v>45865</v>
      </c>
      <c r="B322" t="inlineStr">
        <is>
          <t>Portable SSD</t>
        </is>
      </c>
      <c r="C322" t="inlineStr">
        <is>
          <t>Peripherals</t>
        </is>
      </c>
      <c r="D322" t="inlineStr">
        <is>
          <t>West</t>
        </is>
      </c>
      <c r="E322" t="inlineStr">
        <is>
          <t>John Smith</t>
        </is>
      </c>
      <c r="F322" t="n">
        <v>25</v>
      </c>
      <c r="G322" t="n">
        <v>152.5</v>
      </c>
      <c r="H322" t="n">
        <v>3812.54</v>
      </c>
      <c r="I322" t="n">
        <v>2402.55</v>
      </c>
      <c r="J322" t="n">
        <v>1409.99</v>
      </c>
    </row>
    <row r="323">
      <c r="A323" s="2" t="n">
        <v>45867</v>
      </c>
      <c r="B323" t="inlineStr">
        <is>
          <t>Webcam HD</t>
        </is>
      </c>
      <c r="C323" t="inlineStr">
        <is>
          <t>Storage</t>
        </is>
      </c>
      <c r="D323" t="inlineStr">
        <is>
          <t>West</t>
        </is>
      </c>
      <c r="E323" t="inlineStr">
        <is>
          <t>Tom Brown</t>
        </is>
      </c>
      <c r="F323" t="n">
        <v>27</v>
      </c>
      <c r="G323" t="n">
        <v>129.33</v>
      </c>
      <c r="H323" t="n">
        <v>3491.91</v>
      </c>
      <c r="I323" t="n">
        <v>2587.96</v>
      </c>
      <c r="J323" t="n">
        <v>903.95</v>
      </c>
    </row>
    <row r="324">
      <c r="A324" s="2" t="n">
        <v>45867</v>
      </c>
      <c r="B324" t="inlineStr">
        <is>
          <t>Laptop Pro</t>
        </is>
      </c>
      <c r="C324" t="inlineStr">
        <is>
          <t>Accessories</t>
        </is>
      </c>
      <c r="D324" t="inlineStr">
        <is>
          <t>Central</t>
        </is>
      </c>
      <c r="E324" t="inlineStr">
        <is>
          <t>Lisa Park</t>
        </is>
      </c>
      <c r="F324" t="n">
        <v>41</v>
      </c>
      <c r="G324" t="n">
        <v>1247.2</v>
      </c>
      <c r="H324" t="n">
        <v>51135.04</v>
      </c>
      <c r="I324" t="n">
        <v>37558.68</v>
      </c>
      <c r="J324" t="n">
        <v>13576.36</v>
      </c>
    </row>
    <row r="325">
      <c r="A325" s="2" t="n">
        <v>45868</v>
      </c>
      <c r="B325" t="inlineStr">
        <is>
          <t>Gaming Mouse</t>
        </is>
      </c>
      <c r="C325" t="inlineStr">
        <is>
          <t>Storage</t>
        </is>
      </c>
      <c r="D325" t="inlineStr">
        <is>
          <t>Central</t>
        </is>
      </c>
      <c r="E325" t="inlineStr">
        <is>
          <t>Tom Brown</t>
        </is>
      </c>
      <c r="F325" t="n">
        <v>34</v>
      </c>
      <c r="G325" t="n">
        <v>86.79000000000001</v>
      </c>
      <c r="H325" t="n">
        <v>2950.87</v>
      </c>
      <c r="I325" t="n">
        <v>2196.07</v>
      </c>
      <c r="J325" t="n">
        <v>754.8</v>
      </c>
    </row>
    <row r="326">
      <c r="A326" s="2" t="n">
        <v>45869</v>
      </c>
      <c r="B326" t="inlineStr">
        <is>
          <t>Laptop Pro</t>
        </is>
      </c>
      <c r="C326" t="inlineStr">
        <is>
          <t>Accessories</t>
        </is>
      </c>
      <c r="D326" t="inlineStr">
        <is>
          <t>West</t>
        </is>
      </c>
      <c r="E326" t="inlineStr">
        <is>
          <t>Tom Brown</t>
        </is>
      </c>
      <c r="F326" t="n">
        <v>30</v>
      </c>
      <c r="G326" t="n">
        <v>1146.57</v>
      </c>
      <c r="H326" t="n">
        <v>34397.14</v>
      </c>
      <c r="I326" t="n">
        <v>20212.6</v>
      </c>
      <c r="J326" t="n">
        <v>14184.55</v>
      </c>
    </row>
    <row r="327">
      <c r="A327" s="2" t="n">
        <v>45869</v>
      </c>
      <c r="B327" t="inlineStr">
        <is>
          <t>Portable SSD</t>
        </is>
      </c>
      <c r="C327" t="inlineStr">
        <is>
          <t>Storage</t>
        </is>
      </c>
      <c r="D327" t="inlineStr">
        <is>
          <t>South</t>
        </is>
      </c>
      <c r="E327" t="inlineStr">
        <is>
          <t>Anna Kim</t>
        </is>
      </c>
      <c r="F327" t="n">
        <v>28</v>
      </c>
      <c r="G327" t="n">
        <v>157.13</v>
      </c>
      <c r="H327" t="n">
        <v>4399.5</v>
      </c>
      <c r="I327" t="n">
        <v>2817.63</v>
      </c>
      <c r="J327" t="n">
        <v>1581.87</v>
      </c>
    </row>
    <row r="328">
      <c r="A328" s="2" t="n">
        <v>45870</v>
      </c>
      <c r="B328" t="inlineStr">
        <is>
          <t>Wireless Keyboard</t>
        </is>
      </c>
      <c r="C328" t="inlineStr">
        <is>
          <t>Electronics</t>
        </is>
      </c>
      <c r="D328" t="inlineStr">
        <is>
          <t>Central</t>
        </is>
      </c>
      <c r="E328" t="inlineStr">
        <is>
          <t>Lisa Park</t>
        </is>
      </c>
      <c r="F328" t="n">
        <v>33</v>
      </c>
      <c r="G328" t="n">
        <v>106.36</v>
      </c>
      <c r="H328" t="n">
        <v>3509.77</v>
      </c>
      <c r="I328" t="n">
        <v>2014.76</v>
      </c>
      <c r="J328" t="n">
        <v>1495.02</v>
      </c>
    </row>
    <row r="329">
      <c r="A329" s="2" t="n">
        <v>45870</v>
      </c>
      <c r="B329" t="inlineStr">
        <is>
          <t>Smartphone X</t>
        </is>
      </c>
      <c r="C329" t="inlineStr">
        <is>
          <t>Peripherals</t>
        </is>
      </c>
      <c r="D329" t="inlineStr">
        <is>
          <t>North</t>
        </is>
      </c>
      <c r="E329" t="inlineStr">
        <is>
          <t>Anna Kim</t>
        </is>
      </c>
      <c r="F329" t="n">
        <v>25</v>
      </c>
      <c r="G329" t="n">
        <v>922.4400000000001</v>
      </c>
      <c r="H329" t="n">
        <v>23060.99</v>
      </c>
      <c r="I329" t="n">
        <v>14445.12</v>
      </c>
      <c r="J329" t="n">
        <v>8615.860000000001</v>
      </c>
    </row>
    <row r="330">
      <c r="A330" s="2" t="n">
        <v>45874</v>
      </c>
      <c r="B330" t="inlineStr">
        <is>
          <t>Portable SSD</t>
        </is>
      </c>
      <c r="C330" t="inlineStr">
        <is>
          <t>Electronics</t>
        </is>
      </c>
      <c r="D330" t="inlineStr">
        <is>
          <t>West</t>
        </is>
      </c>
      <c r="E330" t="inlineStr">
        <is>
          <t>Lisa Park</t>
        </is>
      </c>
      <c r="F330" t="n">
        <v>19</v>
      </c>
      <c r="G330" t="n">
        <v>138.84</v>
      </c>
      <c r="H330" t="n">
        <v>2637.99</v>
      </c>
      <c r="I330" t="n">
        <v>1531.04</v>
      </c>
      <c r="J330" t="n">
        <v>1106.95</v>
      </c>
    </row>
    <row r="331">
      <c r="A331" s="2" t="n">
        <v>45879</v>
      </c>
      <c r="B331" t="inlineStr">
        <is>
          <t>Gaming Mouse</t>
        </is>
      </c>
      <c r="C331" t="inlineStr">
        <is>
          <t>Mobile</t>
        </is>
      </c>
      <c r="D331" t="inlineStr">
        <is>
          <t>South</t>
        </is>
      </c>
      <c r="E331" t="inlineStr">
        <is>
          <t>Mike Chen</t>
        </is>
      </c>
      <c r="F331" t="n">
        <v>31</v>
      </c>
      <c r="G331" t="n">
        <v>77.73999999999999</v>
      </c>
      <c r="H331" t="n">
        <v>2409.98</v>
      </c>
      <c r="I331" t="n">
        <v>1748.3</v>
      </c>
      <c r="J331" t="n">
        <v>661.6799999999999</v>
      </c>
    </row>
    <row r="332">
      <c r="A332" s="2" t="n">
        <v>45880</v>
      </c>
      <c r="B332" t="inlineStr">
        <is>
          <t>Gaming Mouse</t>
        </is>
      </c>
      <c r="C332" t="inlineStr">
        <is>
          <t>Storage</t>
        </is>
      </c>
      <c r="D332" t="inlineStr">
        <is>
          <t>West</t>
        </is>
      </c>
      <c r="E332" t="inlineStr">
        <is>
          <t>Sarah Lee</t>
        </is>
      </c>
      <c r="F332" t="n">
        <v>40</v>
      </c>
      <c r="G332" t="n">
        <v>81.72</v>
      </c>
      <c r="H332" t="n">
        <v>3268.95</v>
      </c>
      <c r="I332" t="n">
        <v>2133.11</v>
      </c>
      <c r="J332" t="n">
        <v>1135.84</v>
      </c>
    </row>
    <row r="333">
      <c r="A333" s="2" t="n">
        <v>45882</v>
      </c>
      <c r="B333" t="inlineStr">
        <is>
          <t>Wireless Keyboard</t>
        </is>
      </c>
      <c r="C333" t="inlineStr">
        <is>
          <t>Storage</t>
        </is>
      </c>
      <c r="D333" t="inlineStr">
        <is>
          <t>South</t>
        </is>
      </c>
      <c r="E333" t="inlineStr">
        <is>
          <t>John Smith</t>
        </is>
      </c>
      <c r="F333" t="n">
        <v>35</v>
      </c>
      <c r="G333" t="n">
        <v>98.3</v>
      </c>
      <c r="H333" t="n">
        <v>3440.37</v>
      </c>
      <c r="I333" t="n">
        <v>2080.33</v>
      </c>
      <c r="J333" t="n">
        <v>1360.04</v>
      </c>
    </row>
    <row r="334">
      <c r="A334" s="2" t="n">
        <v>45882</v>
      </c>
      <c r="B334" t="inlineStr">
        <is>
          <t>Smartphone X</t>
        </is>
      </c>
      <c r="C334" t="inlineStr">
        <is>
          <t>Storage</t>
        </is>
      </c>
      <c r="D334" t="inlineStr">
        <is>
          <t>East</t>
        </is>
      </c>
      <c r="E334" t="inlineStr">
        <is>
          <t>Emma Davis</t>
        </is>
      </c>
      <c r="F334" t="n">
        <v>21</v>
      </c>
      <c r="G334" t="n">
        <v>946.9400000000001</v>
      </c>
      <c r="H334" t="n">
        <v>19885.77</v>
      </c>
      <c r="I334" t="n">
        <v>13169.46</v>
      </c>
      <c r="J334" t="n">
        <v>6716.31</v>
      </c>
    </row>
    <row r="335">
      <c r="A335" s="2" t="n">
        <v>45883</v>
      </c>
      <c r="B335" t="inlineStr">
        <is>
          <t>Laptop Pro</t>
        </is>
      </c>
      <c r="C335" t="inlineStr">
        <is>
          <t>Mobile</t>
        </is>
      </c>
      <c r="D335" t="inlineStr">
        <is>
          <t>East</t>
        </is>
      </c>
      <c r="E335" t="inlineStr">
        <is>
          <t>Emma Davis</t>
        </is>
      </c>
      <c r="F335" t="n">
        <v>36</v>
      </c>
      <c r="G335" t="n">
        <v>1158.49</v>
      </c>
      <c r="H335" t="n">
        <v>41705.57</v>
      </c>
      <c r="I335" t="n">
        <v>28506.53</v>
      </c>
      <c r="J335" t="n">
        <v>13199.03</v>
      </c>
    </row>
    <row r="336">
      <c r="A336" s="2" t="n">
        <v>45883</v>
      </c>
      <c r="B336" t="inlineStr">
        <is>
          <t>USB-C Hub</t>
        </is>
      </c>
      <c r="C336" t="inlineStr">
        <is>
          <t>Mobile</t>
        </is>
      </c>
      <c r="D336" t="inlineStr">
        <is>
          <t>Central</t>
        </is>
      </c>
      <c r="E336" t="inlineStr">
        <is>
          <t>John Smith</t>
        </is>
      </c>
      <c r="F336" t="n">
        <v>26</v>
      </c>
      <c r="G336" t="n">
        <v>57.06</v>
      </c>
      <c r="H336" t="n">
        <v>1483.45</v>
      </c>
      <c r="I336" t="n">
        <v>1018.09</v>
      </c>
      <c r="J336" t="n">
        <v>465.36</v>
      </c>
    </row>
    <row r="337">
      <c r="A337" s="2" t="n">
        <v>45887</v>
      </c>
      <c r="B337" t="inlineStr">
        <is>
          <t>Tablet Air</t>
        </is>
      </c>
      <c r="C337" t="inlineStr">
        <is>
          <t>Electronics</t>
        </is>
      </c>
      <c r="D337" t="inlineStr">
        <is>
          <t>North</t>
        </is>
      </c>
      <c r="E337" t="inlineStr">
        <is>
          <t>Mike Chen</t>
        </is>
      </c>
      <c r="F337" t="n">
        <v>34</v>
      </c>
      <c r="G337" t="n">
        <v>544.34</v>
      </c>
      <c r="H337" t="n">
        <v>18507.53</v>
      </c>
      <c r="I337" t="n">
        <v>11301.18</v>
      </c>
      <c r="J337" t="n">
        <v>7206.36</v>
      </c>
    </row>
    <row r="338">
      <c r="A338" s="2" t="n">
        <v>45888</v>
      </c>
      <c r="B338" t="inlineStr">
        <is>
          <t>Webcam HD</t>
        </is>
      </c>
      <c r="C338" t="inlineStr">
        <is>
          <t>Peripherals</t>
        </is>
      </c>
      <c r="D338" t="inlineStr">
        <is>
          <t>West</t>
        </is>
      </c>
      <c r="E338" t="inlineStr">
        <is>
          <t>Sarah Lee</t>
        </is>
      </c>
      <c r="F338" t="n">
        <v>20</v>
      </c>
      <c r="G338" t="n">
        <v>109.71</v>
      </c>
      <c r="H338" t="n">
        <v>2194.17</v>
      </c>
      <c r="I338" t="n">
        <v>1346.77</v>
      </c>
      <c r="J338" t="n">
        <v>847.4</v>
      </c>
    </row>
    <row r="339">
      <c r="A339" s="2" t="n">
        <v>45889</v>
      </c>
      <c r="B339" t="inlineStr">
        <is>
          <t>USB-C Hub</t>
        </is>
      </c>
      <c r="C339" t="inlineStr">
        <is>
          <t>Electronics</t>
        </is>
      </c>
      <c r="D339" t="inlineStr">
        <is>
          <t>North</t>
        </is>
      </c>
      <c r="E339" t="inlineStr">
        <is>
          <t>Tom Brown</t>
        </is>
      </c>
      <c r="F339" t="n">
        <v>24</v>
      </c>
      <c r="G339" t="n">
        <v>61.33</v>
      </c>
      <c r="H339" t="n">
        <v>1471.96</v>
      </c>
      <c r="I339" t="n">
        <v>930.58</v>
      </c>
      <c r="J339" t="n">
        <v>541.38</v>
      </c>
    </row>
    <row r="340">
      <c r="A340" s="2" t="n">
        <v>45890</v>
      </c>
      <c r="B340" t="inlineStr">
        <is>
          <t>Laptop Pro</t>
        </is>
      </c>
      <c r="C340" t="inlineStr">
        <is>
          <t>Mobile</t>
        </is>
      </c>
      <c r="D340" t="inlineStr">
        <is>
          <t>Central</t>
        </is>
      </c>
      <c r="E340" t="inlineStr">
        <is>
          <t>Emma Davis</t>
        </is>
      </c>
      <c r="F340" t="n">
        <v>21</v>
      </c>
      <c r="G340" t="n">
        <v>1230.95</v>
      </c>
      <c r="H340" t="n">
        <v>25849.87</v>
      </c>
      <c r="I340" t="n">
        <v>18753.94</v>
      </c>
      <c r="J340" t="n">
        <v>7095.93</v>
      </c>
    </row>
    <row r="341">
      <c r="A341" s="2" t="n">
        <v>45890</v>
      </c>
      <c r="B341" t="inlineStr">
        <is>
          <t>Smartphone X</t>
        </is>
      </c>
      <c r="C341" t="inlineStr">
        <is>
          <t>Storage</t>
        </is>
      </c>
      <c r="D341" t="inlineStr">
        <is>
          <t>Central</t>
        </is>
      </c>
      <c r="E341" t="inlineStr">
        <is>
          <t>Sarah Lee</t>
        </is>
      </c>
      <c r="F341" t="n">
        <v>21</v>
      </c>
      <c r="G341" t="n">
        <v>933.4</v>
      </c>
      <c r="H341" t="n">
        <v>19601.44</v>
      </c>
      <c r="I341" t="n">
        <v>12467.71</v>
      </c>
      <c r="J341" t="n">
        <v>7133.72</v>
      </c>
    </row>
    <row r="342">
      <c r="A342" s="2" t="n">
        <v>45892</v>
      </c>
      <c r="B342" t="inlineStr">
        <is>
          <t>Laptop Pro</t>
        </is>
      </c>
      <c r="C342" t="inlineStr">
        <is>
          <t>Storage</t>
        </is>
      </c>
      <c r="D342" t="inlineStr">
        <is>
          <t>East</t>
        </is>
      </c>
      <c r="E342" t="inlineStr">
        <is>
          <t>Emma Davis</t>
        </is>
      </c>
      <c r="F342" t="n">
        <v>23</v>
      </c>
      <c r="G342" t="n">
        <v>1312.66</v>
      </c>
      <c r="H342" t="n">
        <v>30191.16</v>
      </c>
      <c r="I342" t="n">
        <v>18163.81</v>
      </c>
      <c r="J342" t="n">
        <v>12027.35</v>
      </c>
    </row>
    <row r="343">
      <c r="A343" s="2" t="n">
        <v>45892</v>
      </c>
      <c r="B343" t="inlineStr">
        <is>
          <t>Laptop Pro</t>
        </is>
      </c>
      <c r="C343" t="inlineStr">
        <is>
          <t>Accessories</t>
        </is>
      </c>
      <c r="D343" t="inlineStr">
        <is>
          <t>North</t>
        </is>
      </c>
      <c r="E343" t="inlineStr">
        <is>
          <t>Emma Davis</t>
        </is>
      </c>
      <c r="F343" t="n">
        <v>35</v>
      </c>
      <c r="G343" t="n">
        <v>1240.21</v>
      </c>
      <c r="H343" t="n">
        <v>43407.42</v>
      </c>
      <c r="I343" t="n">
        <v>24703.47</v>
      </c>
      <c r="J343" t="n">
        <v>18703.95</v>
      </c>
    </row>
    <row r="344">
      <c r="A344" s="2" t="n">
        <v>45893</v>
      </c>
      <c r="B344" t="inlineStr">
        <is>
          <t>Tablet Air</t>
        </is>
      </c>
      <c r="C344" t="inlineStr">
        <is>
          <t>Mobile</t>
        </is>
      </c>
      <c r="D344" t="inlineStr">
        <is>
          <t>Central</t>
        </is>
      </c>
      <c r="E344" t="inlineStr">
        <is>
          <t>Mike Chen</t>
        </is>
      </c>
      <c r="F344" t="n">
        <v>25</v>
      </c>
      <c r="G344" t="n">
        <v>644.61</v>
      </c>
      <c r="H344" t="n">
        <v>16115.35</v>
      </c>
      <c r="I344" t="n">
        <v>9569.98</v>
      </c>
      <c r="J344" t="n">
        <v>6545.37</v>
      </c>
    </row>
    <row r="345">
      <c r="A345" s="2" t="n">
        <v>45894</v>
      </c>
      <c r="B345" t="inlineStr">
        <is>
          <t>Gaming Mouse</t>
        </is>
      </c>
      <c r="C345" t="inlineStr">
        <is>
          <t>Mobile</t>
        </is>
      </c>
      <c r="D345" t="inlineStr">
        <is>
          <t>West</t>
        </is>
      </c>
      <c r="E345" t="inlineStr">
        <is>
          <t>John Smith</t>
        </is>
      </c>
      <c r="F345" t="n">
        <v>27</v>
      </c>
      <c r="G345" t="n">
        <v>82.3</v>
      </c>
      <c r="H345" t="n">
        <v>2222.21</v>
      </c>
      <c r="I345" t="n">
        <v>1403.87</v>
      </c>
      <c r="J345" t="n">
        <v>818.34</v>
      </c>
    </row>
    <row r="346">
      <c r="A346" s="2" t="n">
        <v>45894</v>
      </c>
      <c r="B346" t="inlineStr">
        <is>
          <t>Gaming Mouse</t>
        </is>
      </c>
      <c r="C346" t="inlineStr">
        <is>
          <t>Peripherals</t>
        </is>
      </c>
      <c r="D346" t="inlineStr">
        <is>
          <t>South</t>
        </is>
      </c>
      <c r="E346" t="inlineStr">
        <is>
          <t>James Wilson</t>
        </is>
      </c>
      <c r="F346" t="n">
        <v>25</v>
      </c>
      <c r="G346" t="n">
        <v>75.58</v>
      </c>
      <c r="H346" t="n">
        <v>1889.44</v>
      </c>
      <c r="I346" t="n">
        <v>1403.18</v>
      </c>
      <c r="J346" t="n">
        <v>486.26</v>
      </c>
    </row>
    <row r="347">
      <c r="A347" s="2" t="n">
        <v>45894</v>
      </c>
      <c r="B347" t="inlineStr">
        <is>
          <t>Gaming Mouse</t>
        </is>
      </c>
      <c r="C347" t="inlineStr">
        <is>
          <t>Storage</t>
        </is>
      </c>
      <c r="D347" t="inlineStr">
        <is>
          <t>West</t>
        </is>
      </c>
      <c r="E347" t="inlineStr">
        <is>
          <t>James Wilson</t>
        </is>
      </c>
      <c r="F347" t="n">
        <v>30</v>
      </c>
      <c r="G347" t="n">
        <v>77.22</v>
      </c>
      <c r="H347" t="n">
        <v>2316.7</v>
      </c>
      <c r="I347" t="n">
        <v>1514.06</v>
      </c>
      <c r="J347" t="n">
        <v>802.64</v>
      </c>
    </row>
    <row r="348">
      <c r="A348" s="2" t="n">
        <v>45896</v>
      </c>
      <c r="B348" t="inlineStr">
        <is>
          <t>USB-C Hub</t>
        </is>
      </c>
      <c r="C348" t="inlineStr">
        <is>
          <t>Storage</t>
        </is>
      </c>
      <c r="D348" t="inlineStr">
        <is>
          <t>South</t>
        </is>
      </c>
      <c r="E348" t="inlineStr">
        <is>
          <t>Emma Davis</t>
        </is>
      </c>
      <c r="F348" t="n">
        <v>26</v>
      </c>
      <c r="G348" t="n">
        <v>62.27</v>
      </c>
      <c r="H348" t="n">
        <v>1618.93</v>
      </c>
      <c r="I348" t="n">
        <v>1173.18</v>
      </c>
      <c r="J348" t="n">
        <v>445.75</v>
      </c>
    </row>
    <row r="349">
      <c r="A349" s="2" t="n">
        <v>45896</v>
      </c>
      <c r="B349" t="inlineStr">
        <is>
          <t>Noise Headphones</t>
        </is>
      </c>
      <c r="C349" t="inlineStr">
        <is>
          <t>Peripherals</t>
        </is>
      </c>
      <c r="D349" t="inlineStr">
        <is>
          <t>South</t>
        </is>
      </c>
      <c r="E349" t="inlineStr">
        <is>
          <t>Sarah Lee</t>
        </is>
      </c>
      <c r="F349" t="n">
        <v>33</v>
      </c>
      <c r="G349" t="n">
        <v>262.91</v>
      </c>
      <c r="H349" t="n">
        <v>8676.129999999999</v>
      </c>
      <c r="I349" t="n">
        <v>4814.54</v>
      </c>
      <c r="J349" t="n">
        <v>3861.6</v>
      </c>
    </row>
    <row r="350">
      <c r="A350" s="2" t="n">
        <v>45896</v>
      </c>
      <c r="B350" t="inlineStr">
        <is>
          <t>Tablet Air</t>
        </is>
      </c>
      <c r="C350" t="inlineStr">
        <is>
          <t>Storage</t>
        </is>
      </c>
      <c r="D350" t="inlineStr">
        <is>
          <t>Central</t>
        </is>
      </c>
      <c r="E350" t="inlineStr">
        <is>
          <t>John Smith</t>
        </is>
      </c>
      <c r="F350" t="n">
        <v>35</v>
      </c>
      <c r="G350" t="n">
        <v>589.0700000000001</v>
      </c>
      <c r="H350" t="n">
        <v>20617.6</v>
      </c>
      <c r="I350" t="n">
        <v>12054.26</v>
      </c>
      <c r="J350" t="n">
        <v>8563.34</v>
      </c>
    </row>
    <row r="351">
      <c r="A351" s="2" t="n">
        <v>45896</v>
      </c>
      <c r="B351" t="inlineStr">
        <is>
          <t>Webcam HD</t>
        </is>
      </c>
      <c r="C351" t="inlineStr">
        <is>
          <t>Mobile</t>
        </is>
      </c>
      <c r="D351" t="inlineStr">
        <is>
          <t>East</t>
        </is>
      </c>
      <c r="E351" t="inlineStr">
        <is>
          <t>Tom Brown</t>
        </is>
      </c>
      <c r="F351" t="n">
        <v>31</v>
      </c>
      <c r="G351" t="n">
        <v>111.34</v>
      </c>
      <c r="H351" t="n">
        <v>3451.68</v>
      </c>
      <c r="I351" t="n">
        <v>2474.81</v>
      </c>
      <c r="J351" t="n">
        <v>976.87</v>
      </c>
    </row>
    <row r="352">
      <c r="A352" s="2" t="n">
        <v>45897</v>
      </c>
      <c r="B352" t="inlineStr">
        <is>
          <t>Smartphone X</t>
        </is>
      </c>
      <c r="C352" t="inlineStr">
        <is>
          <t>Mobile</t>
        </is>
      </c>
      <c r="D352" t="inlineStr">
        <is>
          <t>West</t>
        </is>
      </c>
      <c r="E352" t="inlineStr">
        <is>
          <t>Anna Kim</t>
        </is>
      </c>
      <c r="F352" t="n">
        <v>28</v>
      </c>
      <c r="G352" t="n">
        <v>830.02</v>
      </c>
      <c r="H352" t="n">
        <v>23240.44</v>
      </c>
      <c r="I352" t="n">
        <v>15072</v>
      </c>
      <c r="J352" t="n">
        <v>8168.43</v>
      </c>
    </row>
    <row r="353">
      <c r="A353" s="2" t="n">
        <v>45897</v>
      </c>
      <c r="B353" t="inlineStr">
        <is>
          <t>Tablet Air</t>
        </is>
      </c>
      <c r="C353" t="inlineStr">
        <is>
          <t>Electronics</t>
        </is>
      </c>
      <c r="D353" t="inlineStr">
        <is>
          <t>North</t>
        </is>
      </c>
      <c r="E353" t="inlineStr">
        <is>
          <t>John Smith</t>
        </is>
      </c>
      <c r="F353" t="n">
        <v>30</v>
      </c>
      <c r="G353" t="n">
        <v>618.24</v>
      </c>
      <c r="H353" t="n">
        <v>18547.06</v>
      </c>
      <c r="I353" t="n">
        <v>11032.79</v>
      </c>
      <c r="J353" t="n">
        <v>7514.27</v>
      </c>
    </row>
    <row r="354">
      <c r="A354" s="2" t="n">
        <v>45898</v>
      </c>
      <c r="B354" t="inlineStr">
        <is>
          <t>Smartphone X</t>
        </is>
      </c>
      <c r="C354" t="inlineStr">
        <is>
          <t>Peripherals</t>
        </is>
      </c>
      <c r="D354" t="inlineStr">
        <is>
          <t>West</t>
        </is>
      </c>
      <c r="E354" t="inlineStr">
        <is>
          <t>Emma Davis</t>
        </is>
      </c>
      <c r="F354" t="n">
        <v>32</v>
      </c>
      <c r="G354" t="n">
        <v>949.23</v>
      </c>
      <c r="H354" t="n">
        <v>30375.21</v>
      </c>
      <c r="I354" t="n">
        <v>17501.43</v>
      </c>
      <c r="J354" t="n">
        <v>12873.78</v>
      </c>
    </row>
    <row r="355">
      <c r="A355" s="2" t="n">
        <v>45898</v>
      </c>
      <c r="B355" t="inlineStr">
        <is>
          <t>Webcam HD</t>
        </is>
      </c>
      <c r="C355" t="inlineStr">
        <is>
          <t>Storage</t>
        </is>
      </c>
      <c r="D355" t="inlineStr">
        <is>
          <t>North</t>
        </is>
      </c>
      <c r="E355" t="inlineStr">
        <is>
          <t>Lisa Park</t>
        </is>
      </c>
      <c r="F355" t="n">
        <v>41</v>
      </c>
      <c r="G355" t="n">
        <v>127.66</v>
      </c>
      <c r="H355" t="n">
        <v>5234.08</v>
      </c>
      <c r="I355" t="n">
        <v>3804.35</v>
      </c>
      <c r="J355" t="n">
        <v>1429.74</v>
      </c>
    </row>
    <row r="356">
      <c r="A356" s="2" t="n">
        <v>45899</v>
      </c>
      <c r="B356" t="inlineStr">
        <is>
          <t>Monitor 4K</t>
        </is>
      </c>
      <c r="C356" t="inlineStr">
        <is>
          <t>Peripherals</t>
        </is>
      </c>
      <c r="D356" t="inlineStr">
        <is>
          <t>North</t>
        </is>
      </c>
      <c r="E356" t="inlineStr">
        <is>
          <t>Lisa Park</t>
        </is>
      </c>
      <c r="F356" t="n">
        <v>26</v>
      </c>
      <c r="G356" t="n">
        <v>362.96</v>
      </c>
      <c r="H356" t="n">
        <v>9436.98</v>
      </c>
      <c r="I356" t="n">
        <v>6315.73</v>
      </c>
      <c r="J356" t="n">
        <v>3121.24</v>
      </c>
    </row>
    <row r="357">
      <c r="A357" s="2" t="n">
        <v>45899</v>
      </c>
      <c r="B357" t="inlineStr">
        <is>
          <t>Gaming Mouse</t>
        </is>
      </c>
      <c r="C357" t="inlineStr">
        <is>
          <t>Peripherals</t>
        </is>
      </c>
      <c r="D357" t="inlineStr">
        <is>
          <t>East</t>
        </is>
      </c>
      <c r="E357" t="inlineStr">
        <is>
          <t>Sarah Lee</t>
        </is>
      </c>
      <c r="F357" t="n">
        <v>19</v>
      </c>
      <c r="G357" t="n">
        <v>73.08</v>
      </c>
      <c r="H357" t="n">
        <v>1388.55</v>
      </c>
      <c r="I357" t="n">
        <v>985.97</v>
      </c>
      <c r="J357" t="n">
        <v>402.58</v>
      </c>
    </row>
    <row r="358">
      <c r="A358" s="2" t="n">
        <v>45902</v>
      </c>
      <c r="B358" t="inlineStr">
        <is>
          <t>Laptop Pro</t>
        </is>
      </c>
      <c r="C358" t="inlineStr">
        <is>
          <t>Electronics</t>
        </is>
      </c>
      <c r="D358" t="inlineStr">
        <is>
          <t>East</t>
        </is>
      </c>
      <c r="E358" t="inlineStr">
        <is>
          <t>Emma Davis</t>
        </is>
      </c>
      <c r="F358" t="n">
        <v>28</v>
      </c>
      <c r="G358" t="n">
        <v>1105.72</v>
      </c>
      <c r="H358" t="n">
        <v>30960.2</v>
      </c>
      <c r="I358" t="n">
        <v>19798.5</v>
      </c>
      <c r="J358" t="n">
        <v>11161.69</v>
      </c>
    </row>
    <row r="359">
      <c r="A359" s="2" t="n">
        <v>45905</v>
      </c>
      <c r="B359" t="inlineStr">
        <is>
          <t>Webcam HD</t>
        </is>
      </c>
      <c r="C359" t="inlineStr">
        <is>
          <t>Electronics</t>
        </is>
      </c>
      <c r="D359" t="inlineStr">
        <is>
          <t>West</t>
        </is>
      </c>
      <c r="E359" t="inlineStr">
        <is>
          <t>John Smith</t>
        </is>
      </c>
      <c r="F359" t="n">
        <v>25</v>
      </c>
      <c r="G359" t="n">
        <v>109</v>
      </c>
      <c r="H359" t="n">
        <v>2724.94</v>
      </c>
      <c r="I359" t="n">
        <v>1579.56</v>
      </c>
      <c r="J359" t="n">
        <v>1145.38</v>
      </c>
    </row>
    <row r="360">
      <c r="A360" s="2" t="n">
        <v>45908</v>
      </c>
      <c r="B360" t="inlineStr">
        <is>
          <t>Webcam HD</t>
        </is>
      </c>
      <c r="C360" t="inlineStr">
        <is>
          <t>Accessories</t>
        </is>
      </c>
      <c r="D360" t="inlineStr">
        <is>
          <t>East</t>
        </is>
      </c>
      <c r="E360" t="inlineStr">
        <is>
          <t>Lisa Park</t>
        </is>
      </c>
      <c r="F360" t="n">
        <v>20</v>
      </c>
      <c r="G360" t="n">
        <v>109.09</v>
      </c>
      <c r="H360" t="n">
        <v>2181.71</v>
      </c>
      <c r="I360" t="n">
        <v>1341.9</v>
      </c>
      <c r="J360" t="n">
        <v>839.8099999999999</v>
      </c>
    </row>
    <row r="361">
      <c r="A361" s="2" t="n">
        <v>45908</v>
      </c>
      <c r="B361" t="inlineStr">
        <is>
          <t>Laptop Pro</t>
        </is>
      </c>
      <c r="C361" t="inlineStr">
        <is>
          <t>Peripherals</t>
        </is>
      </c>
      <c r="D361" t="inlineStr">
        <is>
          <t>Central</t>
        </is>
      </c>
      <c r="E361" t="inlineStr">
        <is>
          <t>Mike Chen</t>
        </is>
      </c>
      <c r="F361" t="n">
        <v>36</v>
      </c>
      <c r="G361" t="n">
        <v>1273.79</v>
      </c>
      <c r="H361" t="n">
        <v>45856.28</v>
      </c>
      <c r="I361" t="n">
        <v>33439.24</v>
      </c>
      <c r="J361" t="n">
        <v>12417.04</v>
      </c>
    </row>
    <row r="362">
      <c r="A362" s="2" t="n">
        <v>45908</v>
      </c>
      <c r="B362" t="inlineStr">
        <is>
          <t>Gaming Mouse</t>
        </is>
      </c>
      <c r="C362" t="inlineStr">
        <is>
          <t>Accessories</t>
        </is>
      </c>
      <c r="D362" t="inlineStr">
        <is>
          <t>East</t>
        </is>
      </c>
      <c r="E362" t="inlineStr">
        <is>
          <t>Emma Davis</t>
        </is>
      </c>
      <c r="F362" t="n">
        <v>23</v>
      </c>
      <c r="G362" t="n">
        <v>74.63</v>
      </c>
      <c r="H362" t="n">
        <v>1716.45</v>
      </c>
      <c r="I362" t="n">
        <v>1223.68</v>
      </c>
      <c r="J362" t="n">
        <v>492.77</v>
      </c>
    </row>
    <row r="363">
      <c r="A363" s="2" t="n">
        <v>45908</v>
      </c>
      <c r="B363" t="inlineStr">
        <is>
          <t>Webcam HD</t>
        </is>
      </c>
      <c r="C363" t="inlineStr">
        <is>
          <t>Mobile</t>
        </is>
      </c>
      <c r="D363" t="inlineStr">
        <is>
          <t>West</t>
        </is>
      </c>
      <c r="E363" t="inlineStr">
        <is>
          <t>Mike Chen</t>
        </is>
      </c>
      <c r="F363" t="n">
        <v>23</v>
      </c>
      <c r="G363" t="n">
        <v>129.97</v>
      </c>
      <c r="H363" t="n">
        <v>2989.35</v>
      </c>
      <c r="I363" t="n">
        <v>1664.44</v>
      </c>
      <c r="J363" t="n">
        <v>1324.91</v>
      </c>
    </row>
    <row r="364">
      <c r="A364" s="2" t="n">
        <v>45909</v>
      </c>
      <c r="B364" t="inlineStr">
        <is>
          <t>Webcam HD</t>
        </is>
      </c>
      <c r="C364" t="inlineStr">
        <is>
          <t>Peripherals</t>
        </is>
      </c>
      <c r="D364" t="inlineStr">
        <is>
          <t>Central</t>
        </is>
      </c>
      <c r="E364" t="inlineStr">
        <is>
          <t>Tom Brown</t>
        </is>
      </c>
      <c r="F364" t="n">
        <v>25</v>
      </c>
      <c r="G364" t="n">
        <v>116.66</v>
      </c>
      <c r="H364" t="n">
        <v>2916.58</v>
      </c>
      <c r="I364" t="n">
        <v>1657.54</v>
      </c>
      <c r="J364" t="n">
        <v>1259.04</v>
      </c>
    </row>
    <row r="365">
      <c r="A365" s="2" t="n">
        <v>45909</v>
      </c>
      <c r="B365" t="inlineStr">
        <is>
          <t>Gaming Mouse</t>
        </is>
      </c>
      <c r="C365" t="inlineStr">
        <is>
          <t>Peripherals</t>
        </is>
      </c>
      <c r="D365" t="inlineStr">
        <is>
          <t>East</t>
        </is>
      </c>
      <c r="E365" t="inlineStr">
        <is>
          <t>Lisa Park</t>
        </is>
      </c>
      <c r="F365" t="n">
        <v>28</v>
      </c>
      <c r="G365" t="n">
        <v>74.45</v>
      </c>
      <c r="H365" t="n">
        <v>2084.7</v>
      </c>
      <c r="I365" t="n">
        <v>1391.01</v>
      </c>
      <c r="J365" t="n">
        <v>693.6900000000001</v>
      </c>
    </row>
    <row r="366">
      <c r="A366" s="2" t="n">
        <v>45911</v>
      </c>
      <c r="B366" t="inlineStr">
        <is>
          <t>Smartphone X</t>
        </is>
      </c>
      <c r="C366" t="inlineStr">
        <is>
          <t>Electronics</t>
        </is>
      </c>
      <c r="D366" t="inlineStr">
        <is>
          <t>Central</t>
        </is>
      </c>
      <c r="E366" t="inlineStr">
        <is>
          <t>Anna Kim</t>
        </is>
      </c>
      <c r="F366" t="n">
        <v>18</v>
      </c>
      <c r="G366" t="n">
        <v>816.05</v>
      </c>
      <c r="H366" t="n">
        <v>14688.91</v>
      </c>
      <c r="I366" t="n">
        <v>8262.959999999999</v>
      </c>
      <c r="J366" t="n">
        <v>6425.95</v>
      </c>
    </row>
    <row r="367">
      <c r="A367" s="2" t="n">
        <v>45912</v>
      </c>
      <c r="B367" t="inlineStr">
        <is>
          <t>Laptop Pro</t>
        </is>
      </c>
      <c r="C367" t="inlineStr">
        <is>
          <t>Peripherals</t>
        </is>
      </c>
      <c r="D367" t="inlineStr">
        <is>
          <t>South</t>
        </is>
      </c>
      <c r="E367" t="inlineStr">
        <is>
          <t>John Smith</t>
        </is>
      </c>
      <c r="F367" t="n">
        <v>30</v>
      </c>
      <c r="G367" t="n">
        <v>1275.12</v>
      </c>
      <c r="H367" t="n">
        <v>38253.5</v>
      </c>
      <c r="I367" t="n">
        <v>26533.57</v>
      </c>
      <c r="J367" t="n">
        <v>11719.93</v>
      </c>
    </row>
    <row r="368">
      <c r="A368" s="2" t="n">
        <v>45913</v>
      </c>
      <c r="B368" t="inlineStr">
        <is>
          <t>Laptop Pro</t>
        </is>
      </c>
      <c r="C368" t="inlineStr">
        <is>
          <t>Electronics</t>
        </is>
      </c>
      <c r="D368" t="inlineStr">
        <is>
          <t>West</t>
        </is>
      </c>
      <c r="E368" t="inlineStr">
        <is>
          <t>Tom Brown</t>
        </is>
      </c>
      <c r="F368" t="n">
        <v>40</v>
      </c>
      <c r="G368" t="n">
        <v>1227.22</v>
      </c>
      <c r="H368" t="n">
        <v>49088.75</v>
      </c>
      <c r="I368" t="n">
        <v>28638.71</v>
      </c>
      <c r="J368" t="n">
        <v>20450.04</v>
      </c>
    </row>
    <row r="369">
      <c r="A369" s="2" t="n">
        <v>45914</v>
      </c>
      <c r="B369" t="inlineStr">
        <is>
          <t>Gaming Mouse</t>
        </is>
      </c>
      <c r="C369" t="inlineStr">
        <is>
          <t>Peripherals</t>
        </is>
      </c>
      <c r="D369" t="inlineStr">
        <is>
          <t>Central</t>
        </is>
      </c>
      <c r="E369" t="inlineStr">
        <is>
          <t>Tom Brown</t>
        </is>
      </c>
      <c r="F369" t="n">
        <v>31</v>
      </c>
      <c r="G369" t="n">
        <v>85.83</v>
      </c>
      <c r="H369" t="n">
        <v>2660.72</v>
      </c>
      <c r="I369" t="n">
        <v>1715.21</v>
      </c>
      <c r="J369" t="n">
        <v>945.51</v>
      </c>
    </row>
    <row r="370">
      <c r="A370" s="2" t="n">
        <v>45914</v>
      </c>
      <c r="B370" t="inlineStr">
        <is>
          <t>Tablet Air</t>
        </is>
      </c>
      <c r="C370" t="inlineStr">
        <is>
          <t>Peripherals</t>
        </is>
      </c>
      <c r="D370" t="inlineStr">
        <is>
          <t>Central</t>
        </is>
      </c>
      <c r="E370" t="inlineStr">
        <is>
          <t>Lisa Park</t>
        </is>
      </c>
      <c r="F370" t="n">
        <v>36</v>
      </c>
      <c r="G370" t="n">
        <v>574.3099999999999</v>
      </c>
      <c r="H370" t="n">
        <v>20675.12</v>
      </c>
      <c r="I370" t="n">
        <v>14745.27</v>
      </c>
      <c r="J370" t="n">
        <v>5929.84</v>
      </c>
    </row>
    <row r="371">
      <c r="A371" s="2" t="n">
        <v>45914</v>
      </c>
      <c r="B371" t="inlineStr">
        <is>
          <t>Wireless Keyboard</t>
        </is>
      </c>
      <c r="C371" t="inlineStr">
        <is>
          <t>Storage</t>
        </is>
      </c>
      <c r="D371" t="inlineStr">
        <is>
          <t>South</t>
        </is>
      </c>
      <c r="E371" t="inlineStr">
        <is>
          <t>James Wilson</t>
        </is>
      </c>
      <c r="F371" t="n">
        <v>22</v>
      </c>
      <c r="G371" t="n">
        <v>93.64</v>
      </c>
      <c r="H371" t="n">
        <v>2060.03</v>
      </c>
      <c r="I371" t="n">
        <v>1275.43</v>
      </c>
      <c r="J371" t="n">
        <v>784.6</v>
      </c>
    </row>
    <row r="372">
      <c r="A372" s="2" t="n">
        <v>45916</v>
      </c>
      <c r="B372" t="inlineStr">
        <is>
          <t>USB-C Hub</t>
        </is>
      </c>
      <c r="C372" t="inlineStr">
        <is>
          <t>Storage</t>
        </is>
      </c>
      <c r="D372" t="inlineStr">
        <is>
          <t>East</t>
        </is>
      </c>
      <c r="E372" t="inlineStr">
        <is>
          <t>John Smith</t>
        </is>
      </c>
      <c r="F372" t="n">
        <v>33</v>
      </c>
      <c r="G372" t="n">
        <v>64.42</v>
      </c>
      <c r="H372" t="n">
        <v>2125.91</v>
      </c>
      <c r="I372" t="n">
        <v>1376.5</v>
      </c>
      <c r="J372" t="n">
        <v>749.41</v>
      </c>
    </row>
    <row r="373">
      <c r="A373" s="2" t="n">
        <v>45917</v>
      </c>
      <c r="B373" t="inlineStr">
        <is>
          <t>Smartphone X</t>
        </is>
      </c>
      <c r="C373" t="inlineStr">
        <is>
          <t>Mobile</t>
        </is>
      </c>
      <c r="D373" t="inlineStr">
        <is>
          <t>North</t>
        </is>
      </c>
      <c r="E373" t="inlineStr">
        <is>
          <t>Anna Kim</t>
        </is>
      </c>
      <c r="F373" t="n">
        <v>31</v>
      </c>
      <c r="G373" t="n">
        <v>815.6900000000001</v>
      </c>
      <c r="H373" t="n">
        <v>25286.25</v>
      </c>
      <c r="I373" t="n">
        <v>18642.1</v>
      </c>
      <c r="J373" t="n">
        <v>6644.15</v>
      </c>
    </row>
    <row r="374">
      <c r="A374" s="2" t="n">
        <v>45919</v>
      </c>
      <c r="B374" t="inlineStr">
        <is>
          <t>Portable SSD</t>
        </is>
      </c>
      <c r="C374" t="inlineStr">
        <is>
          <t>Accessories</t>
        </is>
      </c>
      <c r="D374" t="inlineStr">
        <is>
          <t>South</t>
        </is>
      </c>
      <c r="E374" t="inlineStr">
        <is>
          <t>Sarah Lee</t>
        </is>
      </c>
      <c r="F374" t="n">
        <v>27</v>
      </c>
      <c r="G374" t="n">
        <v>152.41</v>
      </c>
      <c r="H374" t="n">
        <v>4114.94</v>
      </c>
      <c r="I374" t="n">
        <v>2702.37</v>
      </c>
      <c r="J374" t="n">
        <v>1412.57</v>
      </c>
    </row>
    <row r="375">
      <c r="A375" s="2" t="n">
        <v>45919</v>
      </c>
      <c r="B375" t="inlineStr">
        <is>
          <t>USB-C Hub</t>
        </is>
      </c>
      <c r="C375" t="inlineStr">
        <is>
          <t>Storage</t>
        </is>
      </c>
      <c r="D375" t="inlineStr">
        <is>
          <t>North</t>
        </is>
      </c>
      <c r="E375" t="inlineStr">
        <is>
          <t>Mike Chen</t>
        </is>
      </c>
      <c r="F375" t="n">
        <v>34</v>
      </c>
      <c r="G375" t="n">
        <v>62.31</v>
      </c>
      <c r="H375" t="n">
        <v>2118.45</v>
      </c>
      <c r="I375" t="n">
        <v>1524.94</v>
      </c>
      <c r="J375" t="n">
        <v>593.51</v>
      </c>
    </row>
    <row r="376">
      <c r="A376" s="2" t="n">
        <v>45919</v>
      </c>
      <c r="B376" t="inlineStr">
        <is>
          <t>Monitor 4K</t>
        </is>
      </c>
      <c r="C376" t="inlineStr">
        <is>
          <t>Peripherals</t>
        </is>
      </c>
      <c r="D376" t="inlineStr">
        <is>
          <t>Central</t>
        </is>
      </c>
      <c r="E376" t="inlineStr">
        <is>
          <t>Mike Chen</t>
        </is>
      </c>
      <c r="F376" t="n">
        <v>26</v>
      </c>
      <c r="G376" t="n">
        <v>395.16</v>
      </c>
      <c r="H376" t="n">
        <v>10274.18</v>
      </c>
      <c r="I376" t="n">
        <v>5867.93</v>
      </c>
      <c r="J376" t="n">
        <v>4406.26</v>
      </c>
    </row>
    <row r="377">
      <c r="A377" s="2" t="n">
        <v>45920</v>
      </c>
      <c r="B377" t="inlineStr">
        <is>
          <t>USB-C Hub</t>
        </is>
      </c>
      <c r="C377" t="inlineStr">
        <is>
          <t>Peripherals</t>
        </is>
      </c>
      <c r="D377" t="inlineStr">
        <is>
          <t>South</t>
        </is>
      </c>
      <c r="E377" t="inlineStr">
        <is>
          <t>Sarah Lee</t>
        </is>
      </c>
      <c r="F377" t="n">
        <v>32</v>
      </c>
      <c r="G377" t="n">
        <v>55.64</v>
      </c>
      <c r="H377" t="n">
        <v>1780.37</v>
      </c>
      <c r="I377" t="n">
        <v>984.38</v>
      </c>
      <c r="J377" t="n">
        <v>795.99</v>
      </c>
    </row>
    <row r="378">
      <c r="A378" s="2" t="n">
        <v>45920</v>
      </c>
      <c r="B378" t="inlineStr">
        <is>
          <t>USB-C Hub</t>
        </is>
      </c>
      <c r="C378" t="inlineStr">
        <is>
          <t>Mobile</t>
        </is>
      </c>
      <c r="D378" t="inlineStr">
        <is>
          <t>South</t>
        </is>
      </c>
      <c r="E378" t="inlineStr">
        <is>
          <t>Sarah Lee</t>
        </is>
      </c>
      <c r="F378" t="n">
        <v>27</v>
      </c>
      <c r="G378" t="n">
        <v>57.22</v>
      </c>
      <c r="H378" t="n">
        <v>1545.05</v>
      </c>
      <c r="I378" t="n">
        <v>1017.15</v>
      </c>
      <c r="J378" t="n">
        <v>527.9</v>
      </c>
    </row>
    <row r="379">
      <c r="A379" s="2" t="n">
        <v>45920</v>
      </c>
      <c r="B379" t="inlineStr">
        <is>
          <t>Portable SSD</t>
        </is>
      </c>
      <c r="C379" t="inlineStr">
        <is>
          <t>Storage</t>
        </is>
      </c>
      <c r="D379" t="inlineStr">
        <is>
          <t>South</t>
        </is>
      </c>
      <c r="E379" t="inlineStr">
        <is>
          <t>Anna Kim</t>
        </is>
      </c>
      <c r="F379" t="n">
        <v>41</v>
      </c>
      <c r="G379" t="n">
        <v>153.96</v>
      </c>
      <c r="H379" t="n">
        <v>6312.16</v>
      </c>
      <c r="I379" t="n">
        <v>4037.82</v>
      </c>
      <c r="J379" t="n">
        <v>2274.34</v>
      </c>
    </row>
    <row r="380">
      <c r="A380" s="2" t="n">
        <v>45922</v>
      </c>
      <c r="B380" t="inlineStr">
        <is>
          <t>Wireless Keyboard</t>
        </is>
      </c>
      <c r="C380" t="inlineStr">
        <is>
          <t>Mobile</t>
        </is>
      </c>
      <c r="D380" t="inlineStr">
        <is>
          <t>Central</t>
        </is>
      </c>
      <c r="E380" t="inlineStr">
        <is>
          <t>John Smith</t>
        </is>
      </c>
      <c r="F380" t="n">
        <v>16</v>
      </c>
      <c r="G380" t="n">
        <v>97.53</v>
      </c>
      <c r="H380" t="n">
        <v>1560.47</v>
      </c>
      <c r="I380" t="n">
        <v>1111.23</v>
      </c>
      <c r="J380" t="n">
        <v>449.24</v>
      </c>
    </row>
    <row r="381">
      <c r="A381" s="2" t="n">
        <v>45924</v>
      </c>
      <c r="B381" t="inlineStr">
        <is>
          <t>Portable SSD</t>
        </is>
      </c>
      <c r="C381" t="inlineStr">
        <is>
          <t>Storage</t>
        </is>
      </c>
      <c r="D381" t="inlineStr">
        <is>
          <t>East</t>
        </is>
      </c>
      <c r="E381" t="inlineStr">
        <is>
          <t>Mike Chen</t>
        </is>
      </c>
      <c r="F381" t="n">
        <v>34</v>
      </c>
      <c r="G381" t="n">
        <v>140.13</v>
      </c>
      <c r="H381" t="n">
        <v>4764.31</v>
      </c>
      <c r="I381" t="n">
        <v>3257.49</v>
      </c>
      <c r="J381" t="n">
        <v>1506.81</v>
      </c>
    </row>
    <row r="382">
      <c r="A382" s="2" t="n">
        <v>45928</v>
      </c>
      <c r="B382" t="inlineStr">
        <is>
          <t>Monitor 4K</t>
        </is>
      </c>
      <c r="C382" t="inlineStr">
        <is>
          <t>Storage</t>
        </is>
      </c>
      <c r="D382" t="inlineStr">
        <is>
          <t>West</t>
        </is>
      </c>
      <c r="E382" t="inlineStr">
        <is>
          <t>Emma Davis</t>
        </is>
      </c>
      <c r="F382" t="n">
        <v>38</v>
      </c>
      <c r="G382" t="n">
        <v>380.64</v>
      </c>
      <c r="H382" t="n">
        <v>14464.14</v>
      </c>
      <c r="I382" t="n">
        <v>9864.5</v>
      </c>
      <c r="J382" t="n">
        <v>4599.64</v>
      </c>
    </row>
    <row r="383">
      <c r="A383" s="2" t="n">
        <v>45928</v>
      </c>
      <c r="B383" t="inlineStr">
        <is>
          <t>Tablet Air</t>
        </is>
      </c>
      <c r="C383" t="inlineStr">
        <is>
          <t>Mobile</t>
        </is>
      </c>
      <c r="D383" t="inlineStr">
        <is>
          <t>East</t>
        </is>
      </c>
      <c r="E383" t="inlineStr">
        <is>
          <t>Tom Brown</t>
        </is>
      </c>
      <c r="F383" t="n">
        <v>24</v>
      </c>
      <c r="G383" t="n">
        <v>554.37</v>
      </c>
      <c r="H383" t="n">
        <v>13304.91</v>
      </c>
      <c r="I383" t="n">
        <v>9687.379999999999</v>
      </c>
      <c r="J383" t="n">
        <v>3617.53</v>
      </c>
    </row>
    <row r="384">
      <c r="A384" s="2" t="n">
        <v>45930</v>
      </c>
      <c r="B384" t="inlineStr">
        <is>
          <t>Laptop Pro</t>
        </is>
      </c>
      <c r="C384" t="inlineStr">
        <is>
          <t>Peripherals</t>
        </is>
      </c>
      <c r="D384" t="inlineStr">
        <is>
          <t>East</t>
        </is>
      </c>
      <c r="E384" t="inlineStr">
        <is>
          <t>Sarah Lee</t>
        </is>
      </c>
      <c r="F384" t="n">
        <v>32</v>
      </c>
      <c r="G384" t="n">
        <v>1143.61</v>
      </c>
      <c r="H384" t="n">
        <v>36595.56</v>
      </c>
      <c r="I384" t="n">
        <v>20280.85</v>
      </c>
      <c r="J384" t="n">
        <v>16314.7</v>
      </c>
    </row>
    <row r="385">
      <c r="A385" s="2" t="n">
        <v>45931</v>
      </c>
      <c r="B385" t="inlineStr">
        <is>
          <t>Portable SSD</t>
        </is>
      </c>
      <c r="C385" t="inlineStr">
        <is>
          <t>Accessories</t>
        </is>
      </c>
      <c r="D385" t="inlineStr">
        <is>
          <t>East</t>
        </is>
      </c>
      <c r="E385" t="inlineStr">
        <is>
          <t>Lisa Park</t>
        </is>
      </c>
      <c r="F385" t="n">
        <v>43</v>
      </c>
      <c r="G385" t="n">
        <v>144.81</v>
      </c>
      <c r="H385" t="n">
        <v>6226.74</v>
      </c>
      <c r="I385" t="n">
        <v>3610.13</v>
      </c>
      <c r="J385" t="n">
        <v>2616.62</v>
      </c>
    </row>
    <row r="386">
      <c r="A386" s="2" t="n">
        <v>45932</v>
      </c>
      <c r="B386" t="inlineStr">
        <is>
          <t>Webcam HD</t>
        </is>
      </c>
      <c r="C386" t="inlineStr">
        <is>
          <t>Accessories</t>
        </is>
      </c>
      <c r="D386" t="inlineStr">
        <is>
          <t>North</t>
        </is>
      </c>
      <c r="E386" t="inlineStr">
        <is>
          <t>James Wilson</t>
        </is>
      </c>
      <c r="F386" t="n">
        <v>21</v>
      </c>
      <c r="G386" t="n">
        <v>122.36</v>
      </c>
      <c r="H386" t="n">
        <v>2569.51</v>
      </c>
      <c r="I386" t="n">
        <v>1791.29</v>
      </c>
      <c r="J386" t="n">
        <v>778.22</v>
      </c>
    </row>
    <row r="387">
      <c r="A387" s="2" t="n">
        <v>45933</v>
      </c>
      <c r="B387" t="inlineStr">
        <is>
          <t>Tablet Air</t>
        </is>
      </c>
      <c r="C387" t="inlineStr">
        <is>
          <t>Storage</t>
        </is>
      </c>
      <c r="D387" t="inlineStr">
        <is>
          <t>East</t>
        </is>
      </c>
      <c r="E387" t="inlineStr">
        <is>
          <t>Mike Chen</t>
        </is>
      </c>
      <c r="F387" t="n">
        <v>41</v>
      </c>
      <c r="G387" t="n">
        <v>554.58</v>
      </c>
      <c r="H387" t="n">
        <v>22737.79</v>
      </c>
      <c r="I387" t="n">
        <v>13403.79</v>
      </c>
      <c r="J387" t="n">
        <v>9334</v>
      </c>
    </row>
    <row r="388">
      <c r="A388" s="2" t="n">
        <v>45935</v>
      </c>
      <c r="B388" t="inlineStr">
        <is>
          <t>Wireless Keyboard</t>
        </is>
      </c>
      <c r="C388" t="inlineStr">
        <is>
          <t>Mobile</t>
        </is>
      </c>
      <c r="D388" t="inlineStr">
        <is>
          <t>Central</t>
        </is>
      </c>
      <c r="E388" t="inlineStr">
        <is>
          <t>Tom Brown</t>
        </is>
      </c>
      <c r="F388" t="n">
        <v>32</v>
      </c>
      <c r="G388" t="n">
        <v>90.84</v>
      </c>
      <c r="H388" t="n">
        <v>2906.85</v>
      </c>
      <c r="I388" t="n">
        <v>2161.82</v>
      </c>
      <c r="J388" t="n">
        <v>745.03</v>
      </c>
    </row>
    <row r="389">
      <c r="A389" s="2" t="n">
        <v>45936</v>
      </c>
      <c r="B389" t="inlineStr">
        <is>
          <t>Webcam HD</t>
        </is>
      </c>
      <c r="C389" t="inlineStr">
        <is>
          <t>Mobile</t>
        </is>
      </c>
      <c r="D389" t="inlineStr">
        <is>
          <t>North</t>
        </is>
      </c>
      <c r="E389" t="inlineStr">
        <is>
          <t>Sarah Lee</t>
        </is>
      </c>
      <c r="F389" t="n">
        <v>31</v>
      </c>
      <c r="G389" t="n">
        <v>112.94</v>
      </c>
      <c r="H389" t="n">
        <v>3501.15</v>
      </c>
      <c r="I389" t="n">
        <v>2004</v>
      </c>
      <c r="J389" t="n">
        <v>1497.15</v>
      </c>
    </row>
    <row r="390">
      <c r="A390" s="2" t="n">
        <v>45936</v>
      </c>
      <c r="B390" t="inlineStr">
        <is>
          <t>Monitor 4K</t>
        </is>
      </c>
      <c r="C390" t="inlineStr">
        <is>
          <t>Storage</t>
        </is>
      </c>
      <c r="D390" t="inlineStr">
        <is>
          <t>North</t>
        </is>
      </c>
      <c r="E390" t="inlineStr">
        <is>
          <t>Mike Chen</t>
        </is>
      </c>
      <c r="F390" t="n">
        <v>33</v>
      </c>
      <c r="G390" t="n">
        <v>412.61</v>
      </c>
      <c r="H390" t="n">
        <v>13616.1</v>
      </c>
      <c r="I390" t="n">
        <v>9036.48</v>
      </c>
      <c r="J390" t="n">
        <v>4579.61</v>
      </c>
    </row>
    <row r="391">
      <c r="A391" s="2" t="n">
        <v>45937</v>
      </c>
      <c r="B391" t="inlineStr">
        <is>
          <t>USB-C Hub</t>
        </is>
      </c>
      <c r="C391" t="inlineStr">
        <is>
          <t>Peripherals</t>
        </is>
      </c>
      <c r="D391" t="inlineStr">
        <is>
          <t>North</t>
        </is>
      </c>
      <c r="E391" t="inlineStr">
        <is>
          <t>Anna Kim</t>
        </is>
      </c>
      <c r="F391" t="n">
        <v>27</v>
      </c>
      <c r="G391" t="n">
        <v>55.28</v>
      </c>
      <c r="H391" t="n">
        <v>1492.54</v>
      </c>
      <c r="I391" t="n">
        <v>843.33</v>
      </c>
      <c r="J391" t="n">
        <v>649.21</v>
      </c>
    </row>
    <row r="392">
      <c r="A392" s="2" t="n">
        <v>45938</v>
      </c>
      <c r="B392" t="inlineStr">
        <is>
          <t>Gaming Mouse</t>
        </is>
      </c>
      <c r="C392" t="inlineStr">
        <is>
          <t>Accessories</t>
        </is>
      </c>
      <c r="D392" t="inlineStr">
        <is>
          <t>West</t>
        </is>
      </c>
      <c r="E392" t="inlineStr">
        <is>
          <t>Lisa Park</t>
        </is>
      </c>
      <c r="F392" t="n">
        <v>22</v>
      </c>
      <c r="G392" t="n">
        <v>76.38</v>
      </c>
      <c r="H392" t="n">
        <v>1680.47</v>
      </c>
      <c r="I392" t="n">
        <v>1110.51</v>
      </c>
      <c r="J392" t="n">
        <v>569.95</v>
      </c>
    </row>
    <row r="393">
      <c r="A393" s="2" t="n">
        <v>45943</v>
      </c>
      <c r="B393" t="inlineStr">
        <is>
          <t>Monitor 4K</t>
        </is>
      </c>
      <c r="C393" t="inlineStr">
        <is>
          <t>Peripherals</t>
        </is>
      </c>
      <c r="D393" t="inlineStr">
        <is>
          <t>East</t>
        </is>
      </c>
      <c r="E393" t="inlineStr">
        <is>
          <t>Lisa Park</t>
        </is>
      </c>
      <c r="F393" t="n">
        <v>32</v>
      </c>
      <c r="G393" t="n">
        <v>429.89</v>
      </c>
      <c r="H393" t="n">
        <v>13756.36</v>
      </c>
      <c r="I393" t="n">
        <v>10099.57</v>
      </c>
      <c r="J393" t="n">
        <v>3656.79</v>
      </c>
    </row>
    <row r="394">
      <c r="A394" s="2" t="n">
        <v>45943</v>
      </c>
      <c r="B394" t="inlineStr">
        <is>
          <t>Monitor 4K</t>
        </is>
      </c>
      <c r="C394" t="inlineStr">
        <is>
          <t>Peripherals</t>
        </is>
      </c>
      <c r="D394" t="inlineStr">
        <is>
          <t>West</t>
        </is>
      </c>
      <c r="E394" t="inlineStr">
        <is>
          <t>Anna Kim</t>
        </is>
      </c>
      <c r="F394" t="n">
        <v>33</v>
      </c>
      <c r="G394" t="n">
        <v>432.87</v>
      </c>
      <c r="H394" t="n">
        <v>14284.85</v>
      </c>
      <c r="I394" t="n">
        <v>10206.63</v>
      </c>
      <c r="J394" t="n">
        <v>4078.22</v>
      </c>
    </row>
    <row r="395">
      <c r="A395" s="2" t="n">
        <v>45944</v>
      </c>
      <c r="B395" t="inlineStr">
        <is>
          <t>Tablet Air</t>
        </is>
      </c>
      <c r="C395" t="inlineStr">
        <is>
          <t>Accessories</t>
        </is>
      </c>
      <c r="D395" t="inlineStr">
        <is>
          <t>West</t>
        </is>
      </c>
      <c r="E395" t="inlineStr">
        <is>
          <t>Anna Kim</t>
        </is>
      </c>
      <c r="F395" t="n">
        <v>32</v>
      </c>
      <c r="G395" t="n">
        <v>595.5</v>
      </c>
      <c r="H395" t="n">
        <v>19056.13</v>
      </c>
      <c r="I395" t="n">
        <v>13329.65</v>
      </c>
      <c r="J395" t="n">
        <v>5726.48</v>
      </c>
    </row>
    <row r="396">
      <c r="A396" s="2" t="n">
        <v>45947</v>
      </c>
      <c r="B396" t="inlineStr">
        <is>
          <t>Gaming Mouse</t>
        </is>
      </c>
      <c r="C396" t="inlineStr">
        <is>
          <t>Storage</t>
        </is>
      </c>
      <c r="D396" t="inlineStr">
        <is>
          <t>East</t>
        </is>
      </c>
      <c r="E396" t="inlineStr">
        <is>
          <t>Tom Brown</t>
        </is>
      </c>
      <c r="F396" t="n">
        <v>26</v>
      </c>
      <c r="G396" t="n">
        <v>83.52</v>
      </c>
      <c r="H396" t="n">
        <v>2171.54</v>
      </c>
      <c r="I396" t="n">
        <v>1472.8</v>
      </c>
      <c r="J396" t="n">
        <v>698.74</v>
      </c>
    </row>
    <row r="397">
      <c r="A397" s="2" t="n">
        <v>45953</v>
      </c>
      <c r="B397" t="inlineStr">
        <is>
          <t>Tablet Air</t>
        </is>
      </c>
      <c r="C397" t="inlineStr">
        <is>
          <t>Peripherals</t>
        </is>
      </c>
      <c r="D397" t="inlineStr">
        <is>
          <t>East</t>
        </is>
      </c>
      <c r="E397" t="inlineStr">
        <is>
          <t>Anna Kim</t>
        </is>
      </c>
      <c r="F397" t="n">
        <v>40</v>
      </c>
      <c r="G397" t="n">
        <v>612.75</v>
      </c>
      <c r="H397" t="n">
        <v>24510.01</v>
      </c>
      <c r="I397" t="n">
        <v>17229.61</v>
      </c>
      <c r="J397" t="n">
        <v>7280.41</v>
      </c>
    </row>
    <row r="398">
      <c r="A398" s="2" t="n">
        <v>45953</v>
      </c>
      <c r="B398" t="inlineStr">
        <is>
          <t>Laptop Pro</t>
        </is>
      </c>
      <c r="C398" t="inlineStr">
        <is>
          <t>Electronics</t>
        </is>
      </c>
      <c r="D398" t="inlineStr">
        <is>
          <t>West</t>
        </is>
      </c>
      <c r="E398" t="inlineStr">
        <is>
          <t>Anna Kim</t>
        </is>
      </c>
      <c r="F398" t="n">
        <v>35</v>
      </c>
      <c r="G398" t="n">
        <v>1179.88</v>
      </c>
      <c r="H398" t="n">
        <v>41295.69</v>
      </c>
      <c r="I398" t="n">
        <v>26688.12</v>
      </c>
      <c r="J398" t="n">
        <v>14607.57</v>
      </c>
    </row>
    <row r="399">
      <c r="A399" s="2" t="n">
        <v>45954</v>
      </c>
      <c r="B399" t="inlineStr">
        <is>
          <t>Tablet Air</t>
        </is>
      </c>
      <c r="C399" t="inlineStr">
        <is>
          <t>Storage</t>
        </is>
      </c>
      <c r="D399" t="inlineStr">
        <is>
          <t>West</t>
        </is>
      </c>
      <c r="E399" t="inlineStr">
        <is>
          <t>James Wilson</t>
        </is>
      </c>
      <c r="F399" t="n">
        <v>30</v>
      </c>
      <c r="G399" t="n">
        <v>584.13</v>
      </c>
      <c r="H399" t="n">
        <v>17523.93</v>
      </c>
      <c r="I399" t="n">
        <v>11089.6</v>
      </c>
      <c r="J399" t="n">
        <v>6434.33</v>
      </c>
    </row>
    <row r="400">
      <c r="A400" s="2" t="n">
        <v>45954</v>
      </c>
      <c r="B400" t="inlineStr">
        <is>
          <t>Portable SSD</t>
        </is>
      </c>
      <c r="C400" t="inlineStr">
        <is>
          <t>Electronics</t>
        </is>
      </c>
      <c r="D400" t="inlineStr">
        <is>
          <t>South</t>
        </is>
      </c>
      <c r="E400" t="inlineStr">
        <is>
          <t>James Wilson</t>
        </is>
      </c>
      <c r="F400" t="n">
        <v>34</v>
      </c>
      <c r="G400" t="n">
        <v>152.29</v>
      </c>
      <c r="H400" t="n">
        <v>5177.81</v>
      </c>
      <c r="I400" t="n">
        <v>3476.09</v>
      </c>
      <c r="J400" t="n">
        <v>1701.72</v>
      </c>
    </row>
    <row r="401">
      <c r="A401" s="2" t="n">
        <v>45955</v>
      </c>
      <c r="B401" t="inlineStr">
        <is>
          <t>Noise Headphones</t>
        </is>
      </c>
      <c r="C401" t="inlineStr">
        <is>
          <t>Storage</t>
        </is>
      </c>
      <c r="D401" t="inlineStr">
        <is>
          <t>South</t>
        </is>
      </c>
      <c r="E401" t="inlineStr">
        <is>
          <t>James Wilson</t>
        </is>
      </c>
      <c r="F401" t="n">
        <v>28</v>
      </c>
      <c r="G401" t="n">
        <v>240.55</v>
      </c>
      <c r="H401" t="n">
        <v>6735.38</v>
      </c>
      <c r="I401" t="n">
        <v>4142.5</v>
      </c>
      <c r="J401" t="n">
        <v>2592.87</v>
      </c>
    </row>
    <row r="402">
      <c r="A402" s="2" t="n">
        <v>45956</v>
      </c>
      <c r="B402" t="inlineStr">
        <is>
          <t>Tablet Air</t>
        </is>
      </c>
      <c r="C402" t="inlineStr">
        <is>
          <t>Storage</t>
        </is>
      </c>
      <c r="D402" t="inlineStr">
        <is>
          <t>West</t>
        </is>
      </c>
      <c r="E402" t="inlineStr">
        <is>
          <t>Sarah Lee</t>
        </is>
      </c>
      <c r="F402" t="n">
        <v>33</v>
      </c>
      <c r="G402" t="n">
        <v>556.71</v>
      </c>
      <c r="H402" t="n">
        <v>18371.52</v>
      </c>
      <c r="I402" t="n">
        <v>13021.82</v>
      </c>
      <c r="J402" t="n">
        <v>5349.69</v>
      </c>
    </row>
    <row r="403">
      <c r="A403" s="2" t="n">
        <v>45956</v>
      </c>
      <c r="B403" t="inlineStr">
        <is>
          <t>Laptop Pro</t>
        </is>
      </c>
      <c r="C403" t="inlineStr">
        <is>
          <t>Electronics</t>
        </is>
      </c>
      <c r="D403" t="inlineStr">
        <is>
          <t>North</t>
        </is>
      </c>
      <c r="E403" t="inlineStr">
        <is>
          <t>Mike Chen</t>
        </is>
      </c>
      <c r="F403" t="n">
        <v>24</v>
      </c>
      <c r="G403" t="n">
        <v>1202.93</v>
      </c>
      <c r="H403" t="n">
        <v>28870.4</v>
      </c>
      <c r="I403" t="n">
        <v>19806.41</v>
      </c>
      <c r="J403" t="n">
        <v>9063.99</v>
      </c>
    </row>
    <row r="404">
      <c r="A404" s="2" t="n">
        <v>45958</v>
      </c>
      <c r="B404" t="inlineStr">
        <is>
          <t>Tablet Air</t>
        </is>
      </c>
      <c r="C404" t="inlineStr">
        <is>
          <t>Accessories</t>
        </is>
      </c>
      <c r="D404" t="inlineStr">
        <is>
          <t>North</t>
        </is>
      </c>
      <c r="E404" t="inlineStr">
        <is>
          <t>Sarah Lee</t>
        </is>
      </c>
      <c r="F404" t="n">
        <v>40</v>
      </c>
      <c r="G404" t="n">
        <v>541.85</v>
      </c>
      <c r="H404" t="n">
        <v>21674.19</v>
      </c>
      <c r="I404" t="n">
        <v>15944.92</v>
      </c>
      <c r="J404" t="n">
        <v>5729.28</v>
      </c>
    </row>
    <row r="405">
      <c r="A405" s="2" t="n">
        <v>45959</v>
      </c>
      <c r="B405" t="inlineStr">
        <is>
          <t>Monitor 4K</t>
        </is>
      </c>
      <c r="C405" t="inlineStr">
        <is>
          <t>Mobile</t>
        </is>
      </c>
      <c r="D405" t="inlineStr">
        <is>
          <t>North</t>
        </is>
      </c>
      <c r="E405" t="inlineStr">
        <is>
          <t>James Wilson</t>
        </is>
      </c>
      <c r="F405" t="n">
        <v>36</v>
      </c>
      <c r="G405" t="n">
        <v>393.41</v>
      </c>
      <c r="H405" t="n">
        <v>14162.63</v>
      </c>
      <c r="I405" t="n">
        <v>10279.57</v>
      </c>
      <c r="J405" t="n">
        <v>3883.06</v>
      </c>
    </row>
    <row r="406">
      <c r="A406" s="2" t="n">
        <v>45960</v>
      </c>
      <c r="B406" t="inlineStr">
        <is>
          <t>Portable SSD</t>
        </is>
      </c>
      <c r="C406" t="inlineStr">
        <is>
          <t>Mobile</t>
        </is>
      </c>
      <c r="D406" t="inlineStr">
        <is>
          <t>East</t>
        </is>
      </c>
      <c r="E406" t="inlineStr">
        <is>
          <t>Sarah Lee</t>
        </is>
      </c>
      <c r="F406" t="n">
        <v>26</v>
      </c>
      <c r="G406" t="n">
        <v>136.15</v>
      </c>
      <c r="H406" t="n">
        <v>3539.97</v>
      </c>
      <c r="I406" t="n">
        <v>2585.43</v>
      </c>
      <c r="J406" t="n">
        <v>954.55</v>
      </c>
    </row>
    <row r="407">
      <c r="A407" s="2" t="n">
        <v>45960</v>
      </c>
      <c r="B407" t="inlineStr">
        <is>
          <t>Wireless Keyboard</t>
        </is>
      </c>
      <c r="C407" t="inlineStr">
        <is>
          <t>Electronics</t>
        </is>
      </c>
      <c r="D407" t="inlineStr">
        <is>
          <t>South</t>
        </is>
      </c>
      <c r="E407" t="inlineStr">
        <is>
          <t>Anna Kim</t>
        </is>
      </c>
      <c r="F407" t="n">
        <v>31</v>
      </c>
      <c r="G407" t="n">
        <v>91.63</v>
      </c>
      <c r="H407" t="n">
        <v>2840.61</v>
      </c>
      <c r="I407" t="n">
        <v>1596.62</v>
      </c>
      <c r="J407" t="n">
        <v>1243.99</v>
      </c>
    </row>
    <row r="408">
      <c r="A408" s="2" t="n">
        <v>45961</v>
      </c>
      <c r="B408" t="inlineStr">
        <is>
          <t>Smartphone X</t>
        </is>
      </c>
      <c r="C408" t="inlineStr">
        <is>
          <t>Storage</t>
        </is>
      </c>
      <c r="D408" t="inlineStr">
        <is>
          <t>North</t>
        </is>
      </c>
      <c r="E408" t="inlineStr">
        <is>
          <t>Sarah Lee</t>
        </is>
      </c>
      <c r="F408" t="n">
        <v>37</v>
      </c>
      <c r="G408" t="n">
        <v>850.29</v>
      </c>
      <c r="H408" t="n">
        <v>31460.63</v>
      </c>
      <c r="I408" t="n">
        <v>20682.05</v>
      </c>
      <c r="J408" t="n">
        <v>10778.57</v>
      </c>
    </row>
    <row r="409">
      <c r="A409" s="2" t="n">
        <v>45961</v>
      </c>
      <c r="B409" t="inlineStr">
        <is>
          <t>Smartphone X</t>
        </is>
      </c>
      <c r="C409" t="inlineStr">
        <is>
          <t>Electronics</t>
        </is>
      </c>
      <c r="D409" t="inlineStr">
        <is>
          <t>Central</t>
        </is>
      </c>
      <c r="E409" t="inlineStr">
        <is>
          <t>Emma Davis</t>
        </is>
      </c>
      <c r="F409" t="n">
        <v>27</v>
      </c>
      <c r="G409" t="n">
        <v>887.75</v>
      </c>
      <c r="H409" t="n">
        <v>23969.25</v>
      </c>
      <c r="I409" t="n">
        <v>14579.2</v>
      </c>
      <c r="J409" t="n">
        <v>9390.049999999999</v>
      </c>
    </row>
    <row r="410">
      <c r="A410" s="2" t="n">
        <v>45963</v>
      </c>
      <c r="B410" t="inlineStr">
        <is>
          <t>Tablet Air</t>
        </is>
      </c>
      <c r="C410" t="inlineStr">
        <is>
          <t>Mobile</t>
        </is>
      </c>
      <c r="D410" t="inlineStr">
        <is>
          <t>West</t>
        </is>
      </c>
      <c r="E410" t="inlineStr">
        <is>
          <t>James Wilson</t>
        </is>
      </c>
      <c r="F410" t="n">
        <v>36</v>
      </c>
      <c r="G410" t="n">
        <v>560.89</v>
      </c>
      <c r="H410" t="n">
        <v>20192.15</v>
      </c>
      <c r="I410" t="n">
        <v>11503.05</v>
      </c>
      <c r="J410" t="n">
        <v>8689.1</v>
      </c>
    </row>
    <row r="411">
      <c r="A411" s="2" t="n">
        <v>45963</v>
      </c>
      <c r="B411" t="inlineStr">
        <is>
          <t>Gaming Mouse</t>
        </is>
      </c>
      <c r="C411" t="inlineStr">
        <is>
          <t>Peripherals</t>
        </is>
      </c>
      <c r="D411" t="inlineStr">
        <is>
          <t>Central</t>
        </is>
      </c>
      <c r="E411" t="inlineStr">
        <is>
          <t>Emma Davis</t>
        </is>
      </c>
      <c r="F411" t="n">
        <v>30</v>
      </c>
      <c r="G411" t="n">
        <v>75.65000000000001</v>
      </c>
      <c r="H411" t="n">
        <v>2269.41</v>
      </c>
      <c r="I411" t="n">
        <v>1442.03</v>
      </c>
      <c r="J411" t="n">
        <v>827.38</v>
      </c>
    </row>
    <row r="412">
      <c r="A412" s="2" t="n">
        <v>45963</v>
      </c>
      <c r="B412" t="inlineStr">
        <is>
          <t>Monitor 4K</t>
        </is>
      </c>
      <c r="C412" t="inlineStr">
        <is>
          <t>Accessories</t>
        </is>
      </c>
      <c r="D412" t="inlineStr">
        <is>
          <t>West</t>
        </is>
      </c>
      <c r="E412" t="inlineStr">
        <is>
          <t>Emma Davis</t>
        </is>
      </c>
      <c r="F412" t="n">
        <v>37</v>
      </c>
      <c r="G412" t="n">
        <v>415.8</v>
      </c>
      <c r="H412" t="n">
        <v>15384.52</v>
      </c>
      <c r="I412" t="n">
        <v>10554.21</v>
      </c>
      <c r="J412" t="n">
        <v>4830.3</v>
      </c>
    </row>
    <row r="413">
      <c r="A413" s="2" t="n">
        <v>45969</v>
      </c>
      <c r="B413" t="inlineStr">
        <is>
          <t>Wireless Keyboard</t>
        </is>
      </c>
      <c r="C413" t="inlineStr">
        <is>
          <t>Storage</t>
        </is>
      </c>
      <c r="D413" t="inlineStr">
        <is>
          <t>North</t>
        </is>
      </c>
      <c r="E413" t="inlineStr">
        <is>
          <t>Emma Davis</t>
        </is>
      </c>
      <c r="F413" t="n">
        <v>19</v>
      </c>
      <c r="G413" t="n">
        <v>99.04000000000001</v>
      </c>
      <c r="H413" t="n">
        <v>1881.84</v>
      </c>
      <c r="I413" t="n">
        <v>1386.49</v>
      </c>
      <c r="J413" t="n">
        <v>495.35</v>
      </c>
    </row>
    <row r="414">
      <c r="A414" s="2" t="n">
        <v>45971</v>
      </c>
      <c r="B414" t="inlineStr">
        <is>
          <t>Wireless Keyboard</t>
        </is>
      </c>
      <c r="C414" t="inlineStr">
        <is>
          <t>Peripherals</t>
        </is>
      </c>
      <c r="D414" t="inlineStr">
        <is>
          <t>Central</t>
        </is>
      </c>
      <c r="E414" t="inlineStr">
        <is>
          <t>Lisa Park</t>
        </is>
      </c>
      <c r="F414" t="n">
        <v>23</v>
      </c>
      <c r="G414" t="n">
        <v>109.13</v>
      </c>
      <c r="H414" t="n">
        <v>2509.99</v>
      </c>
      <c r="I414" t="n">
        <v>1750.72</v>
      </c>
      <c r="J414" t="n">
        <v>759.27</v>
      </c>
    </row>
    <row r="415">
      <c r="A415" s="2" t="n">
        <v>45971</v>
      </c>
      <c r="B415" t="inlineStr">
        <is>
          <t>Smartphone X</t>
        </is>
      </c>
      <c r="C415" t="inlineStr">
        <is>
          <t>Accessories</t>
        </is>
      </c>
      <c r="D415" t="inlineStr">
        <is>
          <t>South</t>
        </is>
      </c>
      <c r="E415" t="inlineStr">
        <is>
          <t>James Wilson</t>
        </is>
      </c>
      <c r="F415" t="n">
        <v>41</v>
      </c>
      <c r="G415" t="n">
        <v>912.0599999999999</v>
      </c>
      <c r="H415" t="n">
        <v>37394.58</v>
      </c>
      <c r="I415" t="n">
        <v>26089.82</v>
      </c>
      <c r="J415" t="n">
        <v>11304.76</v>
      </c>
    </row>
    <row r="416">
      <c r="A416" s="2" t="n">
        <v>45973</v>
      </c>
      <c r="B416" t="inlineStr">
        <is>
          <t>Monitor 4K</t>
        </is>
      </c>
      <c r="C416" t="inlineStr">
        <is>
          <t>Electronics</t>
        </is>
      </c>
      <c r="D416" t="inlineStr">
        <is>
          <t>South</t>
        </is>
      </c>
      <c r="E416" t="inlineStr">
        <is>
          <t>Tom Brown</t>
        </is>
      </c>
      <c r="F416" t="n">
        <v>28</v>
      </c>
      <c r="G416" t="n">
        <v>389.64</v>
      </c>
      <c r="H416" t="n">
        <v>10909.86</v>
      </c>
      <c r="I416" t="n">
        <v>7057.64</v>
      </c>
      <c r="J416" t="n">
        <v>3852.22</v>
      </c>
    </row>
    <row r="417">
      <c r="A417" s="2" t="n">
        <v>45974</v>
      </c>
      <c r="B417" t="inlineStr">
        <is>
          <t>Portable SSD</t>
        </is>
      </c>
      <c r="C417" t="inlineStr">
        <is>
          <t>Electronics</t>
        </is>
      </c>
      <c r="D417" t="inlineStr">
        <is>
          <t>Central</t>
        </is>
      </c>
      <c r="E417" t="inlineStr">
        <is>
          <t>Emma Davis</t>
        </is>
      </c>
      <c r="F417" t="n">
        <v>32</v>
      </c>
      <c r="G417" t="n">
        <v>159.38</v>
      </c>
      <c r="H417" t="n">
        <v>5100.29</v>
      </c>
      <c r="I417" t="n">
        <v>3771.41</v>
      </c>
      <c r="J417" t="n">
        <v>1328.88</v>
      </c>
    </row>
    <row r="418">
      <c r="A418" s="2" t="n">
        <v>45975</v>
      </c>
      <c r="B418" t="inlineStr">
        <is>
          <t>Portable SSD</t>
        </is>
      </c>
      <c r="C418" t="inlineStr">
        <is>
          <t>Peripherals</t>
        </is>
      </c>
      <c r="D418" t="inlineStr">
        <is>
          <t>South</t>
        </is>
      </c>
      <c r="E418" t="inlineStr">
        <is>
          <t>Tom Brown</t>
        </is>
      </c>
      <c r="F418" t="n">
        <v>26</v>
      </c>
      <c r="G418" t="n">
        <v>158.92</v>
      </c>
      <c r="H418" t="n">
        <v>4131.89</v>
      </c>
      <c r="I418" t="n">
        <v>2396.43</v>
      </c>
      <c r="J418" t="n">
        <v>1735.46</v>
      </c>
    </row>
    <row r="419">
      <c r="A419" s="2" t="n">
        <v>45979</v>
      </c>
      <c r="B419" t="inlineStr">
        <is>
          <t>Noise Headphones</t>
        </is>
      </c>
      <c r="C419" t="inlineStr">
        <is>
          <t>Storage</t>
        </is>
      </c>
      <c r="D419" t="inlineStr">
        <is>
          <t>West</t>
        </is>
      </c>
      <c r="E419" t="inlineStr">
        <is>
          <t>James Wilson</t>
        </is>
      </c>
      <c r="F419" t="n">
        <v>35</v>
      </c>
      <c r="G419" t="n">
        <v>241.83</v>
      </c>
      <c r="H419" t="n">
        <v>8464.059999999999</v>
      </c>
      <c r="I419" t="n">
        <v>4882.77</v>
      </c>
      <c r="J419" t="n">
        <v>3581.29</v>
      </c>
    </row>
    <row r="420">
      <c r="A420" s="2" t="n">
        <v>45982</v>
      </c>
      <c r="B420" t="inlineStr">
        <is>
          <t>Gaming Mouse</t>
        </is>
      </c>
      <c r="C420" t="inlineStr">
        <is>
          <t>Electronics</t>
        </is>
      </c>
      <c r="D420" t="inlineStr">
        <is>
          <t>West</t>
        </is>
      </c>
      <c r="E420" t="inlineStr">
        <is>
          <t>Anna Kim</t>
        </is>
      </c>
      <c r="F420" t="n">
        <v>30</v>
      </c>
      <c r="G420" t="n">
        <v>72.67</v>
      </c>
      <c r="H420" t="n">
        <v>2180.2</v>
      </c>
      <c r="I420" t="n">
        <v>1206.91</v>
      </c>
      <c r="J420" t="n">
        <v>973.3</v>
      </c>
    </row>
    <row r="421">
      <c r="A421" s="2" t="n">
        <v>45983</v>
      </c>
      <c r="B421" t="inlineStr">
        <is>
          <t>USB-C Hub</t>
        </is>
      </c>
      <c r="C421" t="inlineStr">
        <is>
          <t>Electronics</t>
        </is>
      </c>
      <c r="D421" t="inlineStr">
        <is>
          <t>South</t>
        </is>
      </c>
      <c r="E421" t="inlineStr">
        <is>
          <t>Tom Brown</t>
        </is>
      </c>
      <c r="F421" t="n">
        <v>33</v>
      </c>
      <c r="G421" t="n">
        <v>55.96</v>
      </c>
      <c r="H421" t="n">
        <v>1846.8</v>
      </c>
      <c r="I421" t="n">
        <v>1309.31</v>
      </c>
      <c r="J421" t="n">
        <v>537.49</v>
      </c>
    </row>
    <row r="422">
      <c r="A422" s="2" t="n">
        <v>45984</v>
      </c>
      <c r="B422" t="inlineStr">
        <is>
          <t>Webcam HD</t>
        </is>
      </c>
      <c r="C422" t="inlineStr">
        <is>
          <t>Electronics</t>
        </is>
      </c>
      <c r="D422" t="inlineStr">
        <is>
          <t>Central</t>
        </is>
      </c>
      <c r="E422" t="inlineStr">
        <is>
          <t>Sarah Lee</t>
        </is>
      </c>
      <c r="F422" t="n">
        <v>33</v>
      </c>
      <c r="G422" t="n">
        <v>126.37</v>
      </c>
      <c r="H422" t="n">
        <v>4170.29</v>
      </c>
      <c r="I422" t="n">
        <v>2426.2</v>
      </c>
      <c r="J422" t="n">
        <v>1744.09</v>
      </c>
    </row>
    <row r="423">
      <c r="A423" s="2" t="n">
        <v>45984</v>
      </c>
      <c r="B423" t="inlineStr">
        <is>
          <t>Smartphone X</t>
        </is>
      </c>
      <c r="C423" t="inlineStr">
        <is>
          <t>Storage</t>
        </is>
      </c>
      <c r="D423" t="inlineStr">
        <is>
          <t>South</t>
        </is>
      </c>
      <c r="E423" t="inlineStr">
        <is>
          <t>Emma Davis</t>
        </is>
      </c>
      <c r="F423" t="n">
        <v>27</v>
      </c>
      <c r="G423" t="n">
        <v>987.42</v>
      </c>
      <c r="H423" t="n">
        <v>26660.26</v>
      </c>
      <c r="I423" t="n">
        <v>15953.8</v>
      </c>
      <c r="J423" t="n">
        <v>10706.47</v>
      </c>
    </row>
    <row r="424">
      <c r="A424" s="2" t="n">
        <v>45985</v>
      </c>
      <c r="B424" t="inlineStr">
        <is>
          <t>Laptop Pro</t>
        </is>
      </c>
      <c r="C424" t="inlineStr">
        <is>
          <t>Mobile</t>
        </is>
      </c>
      <c r="D424" t="inlineStr">
        <is>
          <t>East</t>
        </is>
      </c>
      <c r="E424" t="inlineStr">
        <is>
          <t>Sarah Lee</t>
        </is>
      </c>
      <c r="F424" t="n">
        <v>17</v>
      </c>
      <c r="G424" t="n">
        <v>1277.42</v>
      </c>
      <c r="H424" t="n">
        <v>21716.21</v>
      </c>
      <c r="I424" t="n">
        <v>13508.31</v>
      </c>
      <c r="J424" t="n">
        <v>8207.9</v>
      </c>
    </row>
    <row r="425">
      <c r="A425" s="2" t="n">
        <v>45987</v>
      </c>
      <c r="B425" t="inlineStr">
        <is>
          <t>Monitor 4K</t>
        </is>
      </c>
      <c r="C425" t="inlineStr">
        <is>
          <t>Storage</t>
        </is>
      </c>
      <c r="D425" t="inlineStr">
        <is>
          <t>West</t>
        </is>
      </c>
      <c r="E425" t="inlineStr">
        <is>
          <t>Anna Kim</t>
        </is>
      </c>
      <c r="F425" t="n">
        <v>39</v>
      </c>
      <c r="G425" t="n">
        <v>420.88</v>
      </c>
      <c r="H425" t="n">
        <v>16414.41</v>
      </c>
      <c r="I425" t="n">
        <v>10804.84</v>
      </c>
      <c r="J425" t="n">
        <v>5609.57</v>
      </c>
    </row>
    <row r="426">
      <c r="A426" s="2" t="n">
        <v>45987</v>
      </c>
      <c r="B426" t="inlineStr">
        <is>
          <t>Tablet Air</t>
        </is>
      </c>
      <c r="C426" t="inlineStr">
        <is>
          <t>Peripherals</t>
        </is>
      </c>
      <c r="D426" t="inlineStr">
        <is>
          <t>South</t>
        </is>
      </c>
      <c r="E426" t="inlineStr">
        <is>
          <t>James Wilson</t>
        </is>
      </c>
      <c r="F426" t="n">
        <v>36</v>
      </c>
      <c r="G426" t="n">
        <v>599.5599999999999</v>
      </c>
      <c r="H426" t="n">
        <v>21584.3</v>
      </c>
      <c r="I426" t="n">
        <v>14447.85</v>
      </c>
      <c r="J426" t="n">
        <v>7136.45</v>
      </c>
    </row>
    <row r="427">
      <c r="A427" s="2" t="n">
        <v>45990</v>
      </c>
      <c r="B427" t="inlineStr">
        <is>
          <t>Monitor 4K</t>
        </is>
      </c>
      <c r="C427" t="inlineStr">
        <is>
          <t>Accessories</t>
        </is>
      </c>
      <c r="D427" t="inlineStr">
        <is>
          <t>West</t>
        </is>
      </c>
      <c r="E427" t="inlineStr">
        <is>
          <t>Tom Brown</t>
        </is>
      </c>
      <c r="F427" t="n">
        <v>30</v>
      </c>
      <c r="G427" t="n">
        <v>371.27</v>
      </c>
      <c r="H427" t="n">
        <v>11138.22</v>
      </c>
      <c r="I427" t="n">
        <v>7913.03</v>
      </c>
      <c r="J427" t="n">
        <v>3225.19</v>
      </c>
    </row>
    <row r="428">
      <c r="A428" s="2" t="n">
        <v>45990</v>
      </c>
      <c r="B428" t="inlineStr">
        <is>
          <t>Gaming Mouse</t>
        </is>
      </c>
      <c r="C428" t="inlineStr">
        <is>
          <t>Mobile</t>
        </is>
      </c>
      <c r="D428" t="inlineStr">
        <is>
          <t>South</t>
        </is>
      </c>
      <c r="E428" t="inlineStr">
        <is>
          <t>Mike Chen</t>
        </is>
      </c>
      <c r="F428" t="n">
        <v>26</v>
      </c>
      <c r="G428" t="n">
        <v>78.09</v>
      </c>
      <c r="H428" t="n">
        <v>2030.34</v>
      </c>
      <c r="I428" t="n">
        <v>1473.2</v>
      </c>
      <c r="J428" t="n">
        <v>557.14</v>
      </c>
    </row>
    <row r="429">
      <c r="A429" s="2" t="n">
        <v>45990</v>
      </c>
      <c r="B429" t="inlineStr">
        <is>
          <t>Monitor 4K</t>
        </is>
      </c>
      <c r="C429" t="inlineStr">
        <is>
          <t>Peripherals</t>
        </is>
      </c>
      <c r="D429" t="inlineStr">
        <is>
          <t>West</t>
        </is>
      </c>
      <c r="E429" t="inlineStr">
        <is>
          <t>Emma Davis</t>
        </is>
      </c>
      <c r="F429" t="n">
        <v>29</v>
      </c>
      <c r="G429" t="n">
        <v>373.58</v>
      </c>
      <c r="H429" t="n">
        <v>10833.84</v>
      </c>
      <c r="I429" t="n">
        <v>7084.84</v>
      </c>
      <c r="J429" t="n">
        <v>3749</v>
      </c>
    </row>
    <row r="430">
      <c r="A430" s="2" t="n">
        <v>45991</v>
      </c>
      <c r="B430" t="inlineStr">
        <is>
          <t>Laptop Pro</t>
        </is>
      </c>
      <c r="C430" t="inlineStr">
        <is>
          <t>Accessories</t>
        </is>
      </c>
      <c r="D430" t="inlineStr">
        <is>
          <t>West</t>
        </is>
      </c>
      <c r="E430" t="inlineStr">
        <is>
          <t>Mike Chen</t>
        </is>
      </c>
      <c r="F430" t="n">
        <v>33</v>
      </c>
      <c r="G430" t="n">
        <v>1292.69</v>
      </c>
      <c r="H430" t="n">
        <v>42658.67</v>
      </c>
      <c r="I430" t="n">
        <v>28521.97</v>
      </c>
      <c r="J430" t="n">
        <v>14136.71</v>
      </c>
    </row>
    <row r="431">
      <c r="A431" s="2" t="n">
        <v>45993</v>
      </c>
      <c r="B431" t="inlineStr">
        <is>
          <t>Webcam HD</t>
        </is>
      </c>
      <c r="C431" t="inlineStr">
        <is>
          <t>Electronics</t>
        </is>
      </c>
      <c r="D431" t="inlineStr">
        <is>
          <t>North</t>
        </is>
      </c>
      <c r="E431" t="inlineStr">
        <is>
          <t>James Wilson</t>
        </is>
      </c>
      <c r="F431" t="n">
        <v>37</v>
      </c>
      <c r="G431" t="n">
        <v>130.6</v>
      </c>
      <c r="H431" t="n">
        <v>4832.02</v>
      </c>
      <c r="I431" t="n">
        <v>3030.74</v>
      </c>
      <c r="J431" t="n">
        <v>1801.28</v>
      </c>
    </row>
    <row r="432">
      <c r="A432" s="2" t="n">
        <v>45995</v>
      </c>
      <c r="B432" t="inlineStr">
        <is>
          <t>USB-C Hub</t>
        </is>
      </c>
      <c r="C432" t="inlineStr">
        <is>
          <t>Mobile</t>
        </is>
      </c>
      <c r="D432" t="inlineStr">
        <is>
          <t>East</t>
        </is>
      </c>
      <c r="E432" t="inlineStr">
        <is>
          <t>Mike Chen</t>
        </is>
      </c>
      <c r="F432" t="n">
        <v>41</v>
      </c>
      <c r="G432" t="n">
        <v>55.92</v>
      </c>
      <c r="H432" t="n">
        <v>2292.76</v>
      </c>
      <c r="I432" t="n">
        <v>1472.66</v>
      </c>
      <c r="J432" t="n">
        <v>820.09</v>
      </c>
    </row>
    <row r="433">
      <c r="A433" s="2" t="n">
        <v>45995</v>
      </c>
      <c r="B433" t="inlineStr">
        <is>
          <t>Portable SSD</t>
        </is>
      </c>
      <c r="C433" t="inlineStr">
        <is>
          <t>Storage</t>
        </is>
      </c>
      <c r="D433" t="inlineStr">
        <is>
          <t>West</t>
        </is>
      </c>
      <c r="E433" t="inlineStr">
        <is>
          <t>James Wilson</t>
        </is>
      </c>
      <c r="F433" t="n">
        <v>48</v>
      </c>
      <c r="G433" t="n">
        <v>155.03</v>
      </c>
      <c r="H433" t="n">
        <v>7441.28</v>
      </c>
      <c r="I433" t="n">
        <v>4349.16</v>
      </c>
      <c r="J433" t="n">
        <v>3092.12</v>
      </c>
    </row>
    <row r="434">
      <c r="A434" s="2" t="n">
        <v>45998</v>
      </c>
      <c r="B434" t="inlineStr">
        <is>
          <t>Laptop Pro</t>
        </is>
      </c>
      <c r="C434" t="inlineStr">
        <is>
          <t>Mobile</t>
        </is>
      </c>
      <c r="D434" t="inlineStr">
        <is>
          <t>North</t>
        </is>
      </c>
      <c r="E434" t="inlineStr">
        <is>
          <t>Emma Davis</t>
        </is>
      </c>
      <c r="F434" t="n">
        <v>29</v>
      </c>
      <c r="G434" t="n">
        <v>1253.34</v>
      </c>
      <c r="H434" t="n">
        <v>36346.98</v>
      </c>
      <c r="I434" t="n">
        <v>26211.23</v>
      </c>
      <c r="J434" t="n">
        <v>10135.74</v>
      </c>
    </row>
    <row r="435">
      <c r="A435" s="2" t="n">
        <v>46000</v>
      </c>
      <c r="B435" t="inlineStr">
        <is>
          <t>Portable SSD</t>
        </is>
      </c>
      <c r="C435" t="inlineStr">
        <is>
          <t>Peripherals</t>
        </is>
      </c>
      <c r="D435" t="inlineStr">
        <is>
          <t>North</t>
        </is>
      </c>
      <c r="E435" t="inlineStr">
        <is>
          <t>Emma Davis</t>
        </is>
      </c>
      <c r="F435" t="n">
        <v>41</v>
      </c>
      <c r="G435" t="n">
        <v>142.3</v>
      </c>
      <c r="H435" t="n">
        <v>5834.48</v>
      </c>
      <c r="I435" t="n">
        <v>4290.72</v>
      </c>
      <c r="J435" t="n">
        <v>1543.76</v>
      </c>
    </row>
    <row r="436">
      <c r="A436" s="2" t="n">
        <v>46000</v>
      </c>
      <c r="B436" t="inlineStr">
        <is>
          <t>Noise Headphones</t>
        </is>
      </c>
      <c r="C436" t="inlineStr">
        <is>
          <t>Storage</t>
        </is>
      </c>
      <c r="D436" t="inlineStr">
        <is>
          <t>East</t>
        </is>
      </c>
      <c r="E436" t="inlineStr">
        <is>
          <t>Mike Chen</t>
        </is>
      </c>
      <c r="F436" t="n">
        <v>45</v>
      </c>
      <c r="G436" t="n">
        <v>250.29</v>
      </c>
      <c r="H436" t="n">
        <v>11263.17</v>
      </c>
      <c r="I436" t="n">
        <v>8088.54</v>
      </c>
      <c r="J436" t="n">
        <v>3174.63</v>
      </c>
    </row>
    <row r="437">
      <c r="A437" s="2" t="n">
        <v>46001</v>
      </c>
      <c r="B437" t="inlineStr">
        <is>
          <t>Webcam HD</t>
        </is>
      </c>
      <c r="C437" t="inlineStr">
        <is>
          <t>Electronics</t>
        </is>
      </c>
      <c r="D437" t="inlineStr">
        <is>
          <t>West</t>
        </is>
      </c>
      <c r="E437" t="inlineStr">
        <is>
          <t>James Wilson</t>
        </is>
      </c>
      <c r="F437" t="n">
        <v>33</v>
      </c>
      <c r="G437" t="n">
        <v>109.85</v>
      </c>
      <c r="H437" t="n">
        <v>3624.95</v>
      </c>
      <c r="I437" t="n">
        <v>2498.52</v>
      </c>
      <c r="J437" t="n">
        <v>1126.42</v>
      </c>
    </row>
    <row r="438">
      <c r="A438" s="2" t="n">
        <v>46002</v>
      </c>
      <c r="B438" t="inlineStr">
        <is>
          <t>Noise Headphones</t>
        </is>
      </c>
      <c r="C438" t="inlineStr">
        <is>
          <t>Accessories</t>
        </is>
      </c>
      <c r="D438" t="inlineStr">
        <is>
          <t>West</t>
        </is>
      </c>
      <c r="E438" t="inlineStr">
        <is>
          <t>James Wilson</t>
        </is>
      </c>
      <c r="F438" t="n">
        <v>41</v>
      </c>
      <c r="G438" t="n">
        <v>239.61</v>
      </c>
      <c r="H438" t="n">
        <v>9823.9</v>
      </c>
      <c r="I438" t="n">
        <v>6122.96</v>
      </c>
      <c r="J438" t="n">
        <v>3700.93</v>
      </c>
    </row>
    <row r="439">
      <c r="A439" s="2" t="n">
        <v>46006</v>
      </c>
      <c r="B439" t="inlineStr">
        <is>
          <t>Wireless Keyboard</t>
        </is>
      </c>
      <c r="C439" t="inlineStr">
        <is>
          <t>Peripherals</t>
        </is>
      </c>
      <c r="D439" t="inlineStr">
        <is>
          <t>West</t>
        </is>
      </c>
      <c r="E439" t="inlineStr">
        <is>
          <t>Anna Kim</t>
        </is>
      </c>
      <c r="F439" t="n">
        <v>37</v>
      </c>
      <c r="G439" t="n">
        <v>108.69</v>
      </c>
      <c r="H439" t="n">
        <v>4021.43</v>
      </c>
      <c r="I439" t="n">
        <v>2956.21</v>
      </c>
      <c r="J439" t="n">
        <v>1065.22</v>
      </c>
    </row>
    <row r="440">
      <c r="A440" s="2" t="n">
        <v>46007</v>
      </c>
      <c r="B440" t="inlineStr">
        <is>
          <t>Webcam HD</t>
        </is>
      </c>
      <c r="C440" t="inlineStr">
        <is>
          <t>Peripherals</t>
        </is>
      </c>
      <c r="D440" t="inlineStr">
        <is>
          <t>West</t>
        </is>
      </c>
      <c r="E440" t="inlineStr">
        <is>
          <t>James Wilson</t>
        </is>
      </c>
      <c r="F440" t="n">
        <v>40</v>
      </c>
      <c r="G440" t="n">
        <v>126.94</v>
      </c>
      <c r="H440" t="n">
        <v>5077.6</v>
      </c>
      <c r="I440" t="n">
        <v>3298.86</v>
      </c>
      <c r="J440" t="n">
        <v>1778.74</v>
      </c>
    </row>
    <row r="441">
      <c r="A441" s="2" t="n">
        <v>46007</v>
      </c>
      <c r="B441" t="inlineStr">
        <is>
          <t>Tablet Air</t>
        </is>
      </c>
      <c r="C441" t="inlineStr">
        <is>
          <t>Peripherals</t>
        </is>
      </c>
      <c r="D441" t="inlineStr">
        <is>
          <t>East</t>
        </is>
      </c>
      <c r="E441" t="inlineStr">
        <is>
          <t>Mike Chen</t>
        </is>
      </c>
      <c r="F441" t="n">
        <v>33</v>
      </c>
      <c r="G441" t="n">
        <v>645.61</v>
      </c>
      <c r="H441" t="n">
        <v>21305.11</v>
      </c>
      <c r="I441" t="n">
        <v>14491.22</v>
      </c>
      <c r="J441" t="n">
        <v>6813.9</v>
      </c>
    </row>
    <row r="442">
      <c r="A442" s="2" t="n">
        <v>46008</v>
      </c>
      <c r="B442" t="inlineStr">
        <is>
          <t>Wireless Keyboard</t>
        </is>
      </c>
      <c r="C442" t="inlineStr">
        <is>
          <t>Mobile</t>
        </is>
      </c>
      <c r="D442" t="inlineStr">
        <is>
          <t>North</t>
        </is>
      </c>
      <c r="E442" t="inlineStr">
        <is>
          <t>Sarah Lee</t>
        </is>
      </c>
      <c r="F442" t="n">
        <v>33</v>
      </c>
      <c r="G442" t="n">
        <v>91.93000000000001</v>
      </c>
      <c r="H442" t="n">
        <v>3033.81</v>
      </c>
      <c r="I442" t="n">
        <v>1941.86</v>
      </c>
      <c r="J442" t="n">
        <v>1091.95</v>
      </c>
    </row>
    <row r="443">
      <c r="A443" s="2" t="n">
        <v>46008</v>
      </c>
      <c r="B443" t="inlineStr">
        <is>
          <t>Wireless Keyboard</t>
        </is>
      </c>
      <c r="C443" t="inlineStr">
        <is>
          <t>Storage</t>
        </is>
      </c>
      <c r="D443" t="inlineStr">
        <is>
          <t>South</t>
        </is>
      </c>
      <c r="E443" t="inlineStr">
        <is>
          <t>Mike Chen</t>
        </is>
      </c>
      <c r="F443" t="n">
        <v>33</v>
      </c>
      <c r="G443" t="n">
        <v>92.81999999999999</v>
      </c>
      <c r="H443" t="n">
        <v>3062.97</v>
      </c>
      <c r="I443" t="n">
        <v>1792.68</v>
      </c>
      <c r="J443" t="n">
        <v>1270.28</v>
      </c>
    </row>
    <row r="444">
      <c r="A444" s="2" t="n">
        <v>46008</v>
      </c>
      <c r="B444" t="inlineStr">
        <is>
          <t>Monitor 4K</t>
        </is>
      </c>
      <c r="C444" t="inlineStr">
        <is>
          <t>Storage</t>
        </is>
      </c>
      <c r="D444" t="inlineStr">
        <is>
          <t>West</t>
        </is>
      </c>
      <c r="E444" t="inlineStr">
        <is>
          <t>Emma Davis</t>
        </is>
      </c>
      <c r="F444" t="n">
        <v>40</v>
      </c>
      <c r="G444" t="n">
        <v>367.32</v>
      </c>
      <c r="H444" t="n">
        <v>14692.76</v>
      </c>
      <c r="I444" t="n">
        <v>10659.48</v>
      </c>
      <c r="J444" t="n">
        <v>4033.28</v>
      </c>
    </row>
    <row r="445">
      <c r="A445" s="2" t="n">
        <v>46010</v>
      </c>
      <c r="B445" t="inlineStr">
        <is>
          <t>Laptop Pro</t>
        </is>
      </c>
      <c r="C445" t="inlineStr">
        <is>
          <t>Electronics</t>
        </is>
      </c>
      <c r="D445" t="inlineStr">
        <is>
          <t>Central</t>
        </is>
      </c>
      <c r="E445" t="inlineStr">
        <is>
          <t>James Wilson</t>
        </is>
      </c>
      <c r="F445" t="n">
        <v>35</v>
      </c>
      <c r="G445" t="n">
        <v>1303.13</v>
      </c>
      <c r="H445" t="n">
        <v>45609.46</v>
      </c>
      <c r="I445" t="n">
        <v>32456.79</v>
      </c>
      <c r="J445" t="n">
        <v>13152.67</v>
      </c>
    </row>
    <row r="446">
      <c r="A446" s="2" t="n">
        <v>46015</v>
      </c>
      <c r="B446" t="inlineStr">
        <is>
          <t>Webcam HD</t>
        </is>
      </c>
      <c r="C446" t="inlineStr">
        <is>
          <t>Accessories</t>
        </is>
      </c>
      <c r="D446" t="inlineStr">
        <is>
          <t>South</t>
        </is>
      </c>
      <c r="E446" t="inlineStr">
        <is>
          <t>Tom Brown</t>
        </is>
      </c>
      <c r="F446" t="n">
        <v>42</v>
      </c>
      <c r="G446" t="n">
        <v>109.6</v>
      </c>
      <c r="H446" t="n">
        <v>4603.19</v>
      </c>
      <c r="I446" t="n">
        <v>3009.02</v>
      </c>
      <c r="J446" t="n">
        <v>1594.17</v>
      </c>
    </row>
    <row r="447">
      <c r="A447" s="2" t="n">
        <v>46017</v>
      </c>
      <c r="B447" t="inlineStr">
        <is>
          <t>Noise Headphones</t>
        </is>
      </c>
      <c r="C447" t="inlineStr">
        <is>
          <t>Mobile</t>
        </is>
      </c>
      <c r="D447" t="inlineStr">
        <is>
          <t>South</t>
        </is>
      </c>
      <c r="E447" t="inlineStr">
        <is>
          <t>Emma Davis</t>
        </is>
      </c>
      <c r="F447" t="n">
        <v>24</v>
      </c>
      <c r="G447" t="n">
        <v>267.77</v>
      </c>
      <c r="H447" t="n">
        <v>6426.55</v>
      </c>
      <c r="I447" t="n">
        <v>4439.02</v>
      </c>
      <c r="J447" t="n">
        <v>1987.53</v>
      </c>
    </row>
    <row r="448">
      <c r="A448" s="2" t="n">
        <v>46018</v>
      </c>
      <c r="B448" t="inlineStr">
        <is>
          <t>Webcam HD</t>
        </is>
      </c>
      <c r="C448" t="inlineStr">
        <is>
          <t>Mobile</t>
        </is>
      </c>
      <c r="D448" t="inlineStr">
        <is>
          <t>South</t>
        </is>
      </c>
      <c r="E448" t="inlineStr">
        <is>
          <t>Sarah Lee</t>
        </is>
      </c>
      <c r="F448" t="n">
        <v>33</v>
      </c>
      <c r="G448" t="n">
        <v>128.95</v>
      </c>
      <c r="H448" t="n">
        <v>4255.37</v>
      </c>
      <c r="I448" t="n">
        <v>2963.63</v>
      </c>
      <c r="J448" t="n">
        <v>1291.74</v>
      </c>
    </row>
    <row r="449">
      <c r="A449" s="2" t="n">
        <v>46019</v>
      </c>
      <c r="B449" t="inlineStr">
        <is>
          <t>Gaming Mouse</t>
        </is>
      </c>
      <c r="C449" t="inlineStr">
        <is>
          <t>Peripherals</t>
        </is>
      </c>
      <c r="D449" t="inlineStr">
        <is>
          <t>East</t>
        </is>
      </c>
      <c r="E449" t="inlineStr">
        <is>
          <t>Anna Kim</t>
        </is>
      </c>
      <c r="F449" t="n">
        <v>31</v>
      </c>
      <c r="G449" t="n">
        <v>83.59</v>
      </c>
      <c r="H449" t="n">
        <v>2591.27</v>
      </c>
      <c r="I449" t="n">
        <v>1724.95</v>
      </c>
      <c r="J449" t="n">
        <v>866.3200000000001</v>
      </c>
    </row>
    <row r="450">
      <c r="A450" s="2" t="n">
        <v>46022</v>
      </c>
      <c r="B450" t="inlineStr">
        <is>
          <t>Smartphone X</t>
        </is>
      </c>
      <c r="C450" t="inlineStr">
        <is>
          <t>Peripherals</t>
        </is>
      </c>
      <c r="D450" t="inlineStr">
        <is>
          <t>East</t>
        </is>
      </c>
      <c r="E450" t="inlineStr">
        <is>
          <t>Mike Chen</t>
        </is>
      </c>
      <c r="F450" t="n">
        <v>31</v>
      </c>
      <c r="G450" t="n">
        <v>921.27</v>
      </c>
      <c r="H450" t="n">
        <v>28559.31</v>
      </c>
      <c r="I450" t="n">
        <v>19720</v>
      </c>
      <c r="J450" t="n">
        <v>8839.309999999999</v>
      </c>
    </row>
    <row r="451">
      <c r="A451" s="2" t="n">
        <v>46022</v>
      </c>
      <c r="B451" t="inlineStr">
        <is>
          <t>Monitor 4K</t>
        </is>
      </c>
      <c r="C451" t="inlineStr">
        <is>
          <t>Electronics</t>
        </is>
      </c>
      <c r="D451" t="inlineStr">
        <is>
          <t>Central</t>
        </is>
      </c>
      <c r="E451" t="inlineStr">
        <is>
          <t>Emma Davis</t>
        </is>
      </c>
      <c r="F451" t="n">
        <v>48</v>
      </c>
      <c r="G451" t="n">
        <v>378.64</v>
      </c>
      <c r="H451" t="n">
        <v>18174.56</v>
      </c>
      <c r="I451" t="n">
        <v>10084.71</v>
      </c>
      <c r="J451" t="n">
        <v>8089.86</v>
      </c>
    </row>
  </sheetData>
  <autoFilter ref="A1:J4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3" t="inlineStr">
        <is>
          <t>MONTHLY SALES SUMMARY</t>
        </is>
      </c>
      <c r="H1" s="3" t="inlineStr">
        <is>
          <t>SALES BY CATEGORY</t>
        </is>
      </c>
    </row>
    <row r="2">
      <c r="A2" s="4" t="inlineStr">
        <is>
          <t>Month</t>
        </is>
      </c>
      <c r="B2" s="4" t="inlineStr">
        <is>
          <t>Total Revenue</t>
        </is>
      </c>
      <c r="C2" s="4" t="inlineStr">
        <is>
          <t>Total Profit</t>
        </is>
      </c>
      <c r="D2" s="4" t="inlineStr">
        <is>
          <t>Units Sold</t>
        </is>
      </c>
      <c r="E2" s="4" t="inlineStr">
        <is>
          <t>Profit Margin %</t>
        </is>
      </c>
      <c r="F2" s="4" t="inlineStr">
        <is>
          <t>Forecast Revenue</t>
        </is>
      </c>
      <c r="H2" s="4" t="inlineStr">
        <is>
          <t>Category</t>
        </is>
      </c>
      <c r="I2" s="4" t="inlineStr">
        <is>
          <t>Revenue</t>
        </is>
      </c>
      <c r="J2" s="4" t="inlineStr">
        <is>
          <t>Profit</t>
        </is>
      </c>
      <c r="K2" s="4" t="inlineStr">
        <is>
          <t>Units</t>
        </is>
      </c>
      <c r="L2" s="4" t="inlineStr">
        <is>
          <t>% of Total</t>
        </is>
      </c>
    </row>
    <row r="3">
      <c r="A3" t="inlineStr">
        <is>
          <t>2024-06</t>
        </is>
      </c>
      <c r="B3" t="n">
        <v>112294.38</v>
      </c>
      <c r="C3" t="n">
        <v>38891.45</v>
      </c>
      <c r="D3" t="n">
        <v>363</v>
      </c>
      <c r="E3" s="5" t="n">
        <v>34.63</v>
      </c>
      <c r="H3" t="inlineStr">
        <is>
          <t>Accessories</t>
        </is>
      </c>
      <c r="I3" t="n">
        <v>931802.24</v>
      </c>
      <c r="J3" t="n">
        <v>316269.07</v>
      </c>
      <c r="K3" t="n">
        <v>2146</v>
      </c>
      <c r="L3">
        <f>I3/SUM($I$3:$I$7)</f>
        <v/>
      </c>
    </row>
    <row r="4">
      <c r="A4" t="inlineStr">
        <is>
          <t>2024-07</t>
        </is>
      </c>
      <c r="B4" t="n">
        <v>148002.43</v>
      </c>
      <c r="C4" t="n">
        <v>53351.19</v>
      </c>
      <c r="D4" t="n">
        <v>360</v>
      </c>
      <c r="E4" s="5" t="n">
        <v>36.05</v>
      </c>
      <c r="H4" t="inlineStr">
        <is>
          <t>Electronics</t>
        </is>
      </c>
      <c r="I4" t="n">
        <v>1048339.99</v>
      </c>
      <c r="J4" t="n">
        <v>379739.04</v>
      </c>
      <c r="K4" t="n">
        <v>2536</v>
      </c>
      <c r="L4">
        <f>I4/SUM($I$3:$I$7)</f>
        <v/>
      </c>
    </row>
    <row r="5">
      <c r="A5" t="inlineStr">
        <is>
          <t>2024-08</t>
        </is>
      </c>
      <c r="B5" t="n">
        <v>195362.99</v>
      </c>
      <c r="C5" t="n">
        <v>65561.59</v>
      </c>
      <c r="D5" t="n">
        <v>547</v>
      </c>
      <c r="E5" s="5" t="n">
        <v>33.56</v>
      </c>
      <c r="H5" t="inlineStr">
        <is>
          <t>Mobile</t>
        </is>
      </c>
      <c r="I5" t="n">
        <v>921725.99</v>
      </c>
      <c r="J5" t="n">
        <v>308382.07</v>
      </c>
      <c r="K5" t="n">
        <v>2472</v>
      </c>
      <c r="L5">
        <f>I5/SUM($I$3:$I$7)</f>
        <v/>
      </c>
    </row>
    <row r="6">
      <c r="A6" t="inlineStr">
        <is>
          <t>2024-09</t>
        </is>
      </c>
      <c r="B6" t="n">
        <v>115702.96</v>
      </c>
      <c r="C6" t="n">
        <v>42064.27</v>
      </c>
      <c r="D6" t="n">
        <v>406</v>
      </c>
      <c r="E6" s="5" t="n">
        <v>36.36</v>
      </c>
      <c r="H6" t="inlineStr">
        <is>
          <t>Peripherals</t>
        </is>
      </c>
      <c r="I6" t="n">
        <v>1263598.17</v>
      </c>
      <c r="J6" t="n">
        <v>440685.8</v>
      </c>
      <c r="K6" t="n">
        <v>2757</v>
      </c>
      <c r="L6">
        <f>I6/SUM($I$3:$I$7)</f>
        <v/>
      </c>
    </row>
    <row r="7">
      <c r="A7" t="inlineStr">
        <is>
          <t>2024-10</t>
        </is>
      </c>
      <c r="B7" t="n">
        <v>266857.19</v>
      </c>
      <c r="C7" t="n">
        <v>93061.40000000001</v>
      </c>
      <c r="D7" t="n">
        <v>669</v>
      </c>
      <c r="E7" s="5" t="n">
        <v>34.87</v>
      </c>
      <c r="H7" t="inlineStr">
        <is>
          <t>Storage</t>
        </is>
      </c>
      <c r="I7" t="n">
        <v>1035733.71</v>
      </c>
      <c r="J7" t="n">
        <v>363860.29</v>
      </c>
      <c r="K7" t="n">
        <v>2784</v>
      </c>
      <c r="L7">
        <f>I7/SUM($I$3:$I$7)</f>
        <v/>
      </c>
    </row>
    <row r="8">
      <c r="A8" t="inlineStr">
        <is>
          <t>2024-11</t>
        </is>
      </c>
      <c r="B8" t="n">
        <v>185070.67</v>
      </c>
      <c r="C8" t="n">
        <v>67256.35000000001</v>
      </c>
      <c r="D8" t="n">
        <v>580</v>
      </c>
      <c r="E8" s="5" t="n">
        <v>36.34</v>
      </c>
    </row>
    <row r="9">
      <c r="A9" t="inlineStr">
        <is>
          <t>2024-12</t>
        </is>
      </c>
      <c r="B9" t="n">
        <v>239703.55</v>
      </c>
      <c r="C9" t="n">
        <v>85705.7</v>
      </c>
      <c r="D9" t="n">
        <v>528</v>
      </c>
      <c r="E9" s="5" t="n">
        <v>35.75</v>
      </c>
    </row>
    <row r="10">
      <c r="A10" t="inlineStr">
        <is>
          <t>2025-01</t>
        </is>
      </c>
      <c r="B10" t="n">
        <v>180950.29</v>
      </c>
      <c r="C10" t="n">
        <v>60762.3</v>
      </c>
      <c r="D10" t="n">
        <v>357</v>
      </c>
      <c r="E10" s="5" t="n">
        <v>33.58</v>
      </c>
    </row>
    <row r="11">
      <c r="A11" t="inlineStr">
        <is>
          <t>2025-02</t>
        </is>
      </c>
      <c r="B11" t="n">
        <v>243697.05</v>
      </c>
      <c r="C11" t="n">
        <v>89217.21000000001</v>
      </c>
      <c r="D11" t="n">
        <v>634</v>
      </c>
      <c r="E11" s="5" t="n">
        <v>36.61</v>
      </c>
    </row>
    <row r="12">
      <c r="A12" t="inlineStr">
        <is>
          <t>2025-03</t>
        </is>
      </c>
      <c r="B12" t="n">
        <v>590303.1</v>
      </c>
      <c r="C12" t="n">
        <v>200494.77</v>
      </c>
      <c r="D12" t="n">
        <v>1058</v>
      </c>
      <c r="E12" s="5" t="n">
        <v>33.96</v>
      </c>
    </row>
    <row r="13">
      <c r="A13" t="inlineStr">
        <is>
          <t>2025-04</t>
        </is>
      </c>
      <c r="B13" t="n">
        <v>319734.04</v>
      </c>
      <c r="C13" t="n">
        <v>114003.2</v>
      </c>
      <c r="D13" t="n">
        <v>745</v>
      </c>
      <c r="E13" s="5" t="n">
        <v>35.66</v>
      </c>
    </row>
    <row r="14">
      <c r="A14" t="inlineStr">
        <is>
          <t>2025-05</t>
        </is>
      </c>
      <c r="B14" t="n">
        <v>296299.79</v>
      </c>
      <c r="C14" t="n">
        <v>94044.39999999999</v>
      </c>
      <c r="D14" t="n">
        <v>890</v>
      </c>
      <c r="E14" s="5" t="n">
        <v>31.74</v>
      </c>
    </row>
    <row r="15">
      <c r="A15" t="inlineStr">
        <is>
          <t>2025-06</t>
        </is>
      </c>
      <c r="B15" t="n">
        <v>459855.77</v>
      </c>
      <c r="C15" t="n">
        <v>165498.09</v>
      </c>
      <c r="D15" t="n">
        <v>1037</v>
      </c>
      <c r="E15" s="5" t="n">
        <v>35.99</v>
      </c>
      <c r="H15" s="3" t="inlineStr">
        <is>
          <t>SALES BY REGION</t>
        </is>
      </c>
    </row>
    <row r="16">
      <c r="A16" t="inlineStr">
        <is>
          <t>2025-07</t>
        </is>
      </c>
      <c r="B16" t="n">
        <v>260028.09</v>
      </c>
      <c r="C16" t="n">
        <v>90022.35000000001</v>
      </c>
      <c r="D16" t="n">
        <v>680</v>
      </c>
      <c r="E16" s="5" t="n">
        <v>34.62</v>
      </c>
      <c r="H16" s="4" t="inlineStr">
        <is>
          <t>Region</t>
        </is>
      </c>
      <c r="I16" s="4" t="inlineStr">
        <is>
          <t>Revenue</t>
        </is>
      </c>
      <c r="J16" s="4" t="inlineStr">
        <is>
          <t>Profit</t>
        </is>
      </c>
      <c r="K16" s="4" t="inlineStr">
        <is>
          <t>Profit Margin %</t>
        </is>
      </c>
      <c r="L16" s="4" t="inlineStr">
        <is>
          <t>Growth %</t>
        </is>
      </c>
    </row>
    <row r="17">
      <c r="A17" t="inlineStr">
        <is>
          <t>2025-08</t>
        </is>
      </c>
      <c r="B17" t="n">
        <v>387756.75</v>
      </c>
      <c r="C17" t="n">
        <v>144322.39</v>
      </c>
      <c r="D17" t="n">
        <v>852</v>
      </c>
      <c r="E17" s="5" t="n">
        <v>37.22</v>
      </c>
      <c r="H17" t="inlineStr">
        <is>
          <t>Central</t>
        </is>
      </c>
      <c r="I17" t="n">
        <v>985326.4300000001</v>
      </c>
      <c r="J17" t="n">
        <v>334925.21</v>
      </c>
      <c r="K17" s="5">
        <f>J17/I17*100</f>
        <v/>
      </c>
    </row>
    <row r="18">
      <c r="A18" t="inlineStr">
        <is>
          <t>2025-09</t>
        </is>
      </c>
      <c r="B18" t="n">
        <v>343103.94</v>
      </c>
      <c r="C18" t="n">
        <v>119482.25</v>
      </c>
      <c r="D18" t="n">
        <v>780</v>
      </c>
      <c r="E18" s="5" t="n">
        <v>34.82</v>
      </c>
      <c r="H18" t="inlineStr">
        <is>
          <t>East</t>
        </is>
      </c>
      <c r="I18" t="n">
        <v>1320008.53</v>
      </c>
      <c r="J18" t="n">
        <v>457696.38</v>
      </c>
      <c r="K18" s="5">
        <f>J18/I18*100</f>
        <v/>
      </c>
    </row>
    <row r="19">
      <c r="A19" t="inlineStr">
        <is>
          <t>2025-10</t>
        </is>
      </c>
      <c r="B19" t="n">
        <v>344132.05</v>
      </c>
      <c r="C19" t="n">
        <v>113940.1</v>
      </c>
      <c r="D19" t="n">
        <v>794</v>
      </c>
      <c r="E19" s="5" t="n">
        <v>33.11</v>
      </c>
      <c r="H19" t="inlineStr">
        <is>
          <t>North</t>
        </is>
      </c>
      <c r="I19" t="n">
        <v>831110.3199999999</v>
      </c>
      <c r="J19" t="n">
        <v>287307.23</v>
      </c>
      <c r="K19" s="5">
        <f>J19/I19*100</f>
        <v/>
      </c>
    </row>
    <row r="20">
      <c r="A20" t="inlineStr">
        <is>
          <t>2025-11</t>
        </is>
      </c>
      <c r="B20" t="n">
        <v>269472.13</v>
      </c>
      <c r="C20" t="n">
        <v>93987.32000000001</v>
      </c>
      <c r="D20" t="n">
        <v>640</v>
      </c>
      <c r="E20" s="5" t="n">
        <v>34.88</v>
      </c>
      <c r="H20" t="inlineStr">
        <is>
          <t>South</t>
        </is>
      </c>
      <c r="I20" t="n">
        <v>1056145.95</v>
      </c>
      <c r="J20" t="n">
        <v>363448.06</v>
      </c>
      <c r="K20" s="5">
        <f>J20/I20*100</f>
        <v/>
      </c>
    </row>
    <row r="21">
      <c r="A21" t="inlineStr">
        <is>
          <t>2025-12</t>
        </is>
      </c>
      <c r="B21" t="n">
        <v>242872.93</v>
      </c>
      <c r="C21" t="n">
        <v>77269.94</v>
      </c>
      <c r="D21" t="n">
        <v>775</v>
      </c>
      <c r="E21" s="5" t="n">
        <v>31.81</v>
      </c>
      <c r="H21" t="inlineStr">
        <is>
          <t>West</t>
        </is>
      </c>
      <c r="I21" t="n">
        <v>1008608.87</v>
      </c>
      <c r="J21" t="n">
        <v>365559.39</v>
      </c>
      <c r="K21" s="5">
        <f>J21/I21*100</f>
        <v/>
      </c>
    </row>
    <row r="22">
      <c r="A22" s="6" t="inlineStr">
        <is>
          <t>FORECAST (Next 6 Months)</t>
        </is>
      </c>
    </row>
    <row r="23">
      <c r="A23" s="7" t="inlineStr">
        <is>
          <t>NaT</t>
        </is>
      </c>
      <c r="B23">
        <f>IFERROR(FORECAST.ETS(A23, Calculations!$B$3:Calculations!$B$21, Calculations!$A$3:Calculations!$A$21, 1, 1), 0)</f>
        <v/>
      </c>
      <c r="F23">
        <f>IFERROR(FORECAST.ETS.CONFINT(A23, Calculations!$B$3:Calculations!$B$21, Calculations!$A$3:Calculations!$A$21, 0.95), 0)</f>
        <v/>
      </c>
    </row>
    <row r="24">
      <c r="A24" s="7" t="inlineStr">
        <is>
          <t>NaT</t>
        </is>
      </c>
      <c r="B24">
        <f>IFERROR(FORECAST.ETS(A24, Calculations!$B$3:Calculations!$B$21, Calculations!$A$3:Calculations!$A$21, 1, 1), 0)</f>
        <v/>
      </c>
      <c r="F24">
        <f>IFERROR(FORECAST.ETS.CONFINT(A24, Calculations!$B$3:Calculations!$B$21, Calculations!$A$3:Calculations!$A$21, 0.95), 0)</f>
        <v/>
      </c>
    </row>
    <row r="25">
      <c r="A25" s="7" t="inlineStr">
        <is>
          <t>NaT</t>
        </is>
      </c>
      <c r="B25">
        <f>IFERROR(FORECAST.ETS(A25, Calculations!$B$3:Calculations!$B$21, Calculations!$A$3:Calculations!$A$21, 1, 1), 0)</f>
        <v/>
      </c>
      <c r="F25">
        <f>IFERROR(FORECAST.ETS.CONFINT(A25, Calculations!$B$3:Calculations!$B$21, Calculations!$A$3:Calculations!$A$21, 0.95), 0)</f>
        <v/>
      </c>
    </row>
    <row r="26">
      <c r="A26" s="7" t="inlineStr">
        <is>
          <t>NaT</t>
        </is>
      </c>
      <c r="B26">
        <f>IFERROR(FORECAST.ETS(A26, Calculations!$B$3:Calculations!$B$21, Calculations!$A$3:Calculations!$A$21, 1, 1), 0)</f>
        <v/>
      </c>
      <c r="F26">
        <f>IFERROR(FORECAST.ETS.CONFINT(A26, Calculations!$B$3:Calculations!$B$21, Calculations!$A$3:Calculations!$A$21, 0.95), 0)</f>
        <v/>
      </c>
    </row>
    <row r="27">
      <c r="A27" s="7" t="inlineStr">
        <is>
          <t>NaT</t>
        </is>
      </c>
      <c r="B27">
        <f>IFERROR(FORECAST.ETS(A27, Calculations!$B$3:Calculations!$B$21, Calculations!$A$3:Calculations!$A$21, 1, 1), 0)</f>
        <v/>
      </c>
      <c r="F27">
        <f>IFERROR(FORECAST.ETS.CONFINT(A27, Calculations!$B$3:Calculations!$B$21, Calculations!$A$3:Calculations!$A$21, 0.95), 0)</f>
        <v/>
      </c>
    </row>
    <row r="28">
      <c r="A28" s="7" t="inlineStr">
        <is>
          <t>NaT</t>
        </is>
      </c>
      <c r="B28">
        <f>IFERROR(FORECAST.ETS(A28, Calculations!$B$3:Calculations!$B$21, Calculations!$A$3:Calculations!$A$21, 1, 1), 0)</f>
        <v/>
      </c>
      <c r="F28">
        <f>IFERROR(FORECAST.ETS.CONFINT(A28, Calculations!$B$3:Calculations!$B$21, Calculations!$A$3:Calculations!$A$21, 0.95), 0)</f>
        <v/>
      </c>
    </row>
    <row r="30">
      <c r="H30" s="3" t="inlineStr">
        <is>
          <t>TOP 5 PRODUCTS</t>
        </is>
      </c>
    </row>
    <row r="31">
      <c r="H31" s="8" t="inlineStr">
        <is>
          <t>Product</t>
        </is>
      </c>
      <c r="I31" s="8" t="inlineStr">
        <is>
          <t>Revenue</t>
        </is>
      </c>
      <c r="J31" s="8" t="inlineStr">
        <is>
          <t>Units</t>
        </is>
      </c>
      <c r="K31" s="8" t="inlineStr">
        <is>
          <t>Avg Price</t>
        </is>
      </c>
    </row>
    <row r="32">
      <c r="H32" t="inlineStr">
        <is>
          <t>Laptop Pro</t>
        </is>
      </c>
      <c r="I32" t="n">
        <v>1584926.9</v>
      </c>
      <c r="J32" t="n">
        <v>1315</v>
      </c>
      <c r="K32" t="n">
        <v>1203.25</v>
      </c>
    </row>
    <row r="33">
      <c r="H33" t="inlineStr">
        <is>
          <t>Smartphone X</t>
        </is>
      </c>
      <c r="I33" t="n">
        <v>1310772.24</v>
      </c>
      <c r="J33" t="n">
        <v>1452</v>
      </c>
      <c r="K33" t="n">
        <v>901.63</v>
      </c>
    </row>
    <row r="34">
      <c r="H34" t="inlineStr">
        <is>
          <t>Tablet Air</t>
        </is>
      </c>
      <c r="I34" t="n">
        <v>861859.9</v>
      </c>
      <c r="J34" t="n">
        <v>1451</v>
      </c>
      <c r="K34" t="n">
        <v>595.33</v>
      </c>
    </row>
    <row r="35">
      <c r="H35" t="inlineStr">
        <is>
          <t>Monitor 4K</t>
        </is>
      </c>
      <c r="I35" t="n">
        <v>549661.71</v>
      </c>
      <c r="J35" t="n">
        <v>1381</v>
      </c>
      <c r="K35" t="n">
        <v>398.38</v>
      </c>
    </row>
    <row r="36">
      <c r="H36" t="inlineStr">
        <is>
          <t>Noise Headphones</t>
        </is>
      </c>
      <c r="I36" t="n">
        <v>284024.26</v>
      </c>
      <c r="J36" t="n">
        <v>1130</v>
      </c>
      <c r="K36" t="n">
        <v>251.08</v>
      </c>
    </row>
  </sheetData>
  <mergeCells count="5">
    <mergeCell ref="H30:L30"/>
    <mergeCell ref="H15:L15"/>
    <mergeCell ref="A1:F1"/>
    <mergeCell ref="H1:L1"/>
    <mergeCell ref="A22:F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" customWidth="1" min="3" max="3"/>
    <col width="18" customWidth="1" min="4" max="4"/>
    <col width="15" customWidth="1" min="5" max="5"/>
    <col width="15" customWidth="1" min="6" max="6"/>
  </cols>
  <sheetData>
    <row r="1" ht="35" customHeight="1">
      <c r="A1" s="9" t="inlineStr">
        <is>
          <t>SALES DASHBOARD - Interactive Analytics &amp; Predictions</t>
        </is>
      </c>
    </row>
    <row r="3">
      <c r="A3" s="10" t="inlineStr">
        <is>
          <t>KEY PERFORMANCE INDICATORS</t>
        </is>
      </c>
      <c r="D3" s="11" t="inlineStr">
        <is>
          <t>PREDICTIONS (Next 6 Months)</t>
        </is>
      </c>
    </row>
    <row r="4">
      <c r="A4" s="12" t="inlineStr">
        <is>
          <t>Total Revenue</t>
        </is>
      </c>
      <c r="B4" s="13" t="n"/>
      <c r="D4" s="14" t="inlineStr">
        <is>
          <t>Month</t>
        </is>
      </c>
      <c r="E4" s="14" t="inlineStr">
        <is>
          <t>Forecast</t>
        </is>
      </c>
      <c r="F4" s="14" t="inlineStr">
        <is>
          <t>Confidence ±</t>
        </is>
      </c>
    </row>
    <row r="5">
      <c r="A5" s="15">
        <f>SUM(Calculations!B3:B28)</f>
        <v/>
      </c>
      <c r="B5" s="13" t="n"/>
      <c r="D5">
        <f>Calculations!A23</f>
        <v/>
      </c>
      <c r="E5" s="16">
        <f>Calculations!B23</f>
        <v/>
      </c>
      <c r="F5" s="16">
        <f>Calculations!F23</f>
        <v/>
      </c>
    </row>
    <row r="6">
      <c r="A6" s="12" t="inlineStr">
        <is>
          <t>Total Profit</t>
        </is>
      </c>
      <c r="B6" s="13" t="n"/>
      <c r="D6">
        <f>Calculations!A24</f>
        <v/>
      </c>
      <c r="E6" s="16">
        <f>Calculations!B24</f>
        <v/>
      </c>
      <c r="F6" s="16">
        <f>Calculations!F24</f>
        <v/>
      </c>
    </row>
    <row r="7">
      <c r="A7" s="17">
        <f>SUM(Calculations!C3:C28)</f>
        <v/>
      </c>
      <c r="B7" s="13" t="n"/>
      <c r="D7">
        <f>Calculations!A25</f>
        <v/>
      </c>
      <c r="E7" s="16">
        <f>Calculations!B25</f>
        <v/>
      </c>
      <c r="F7" s="16">
        <f>Calculations!F25</f>
        <v/>
      </c>
    </row>
    <row r="8">
      <c r="A8" s="12" t="inlineStr">
        <is>
          <t>Avg Profit Margin</t>
        </is>
      </c>
      <c r="B8" s="13" t="n"/>
      <c r="D8">
        <f>Calculations!A26</f>
        <v/>
      </c>
      <c r="E8" s="16">
        <f>Calculations!B26</f>
        <v/>
      </c>
      <c r="F8" s="16">
        <f>Calculations!F26</f>
        <v/>
      </c>
    </row>
    <row r="9">
      <c r="A9" s="18">
        <f>TEXT(AVERAGE(Calculations!E3:E28)/100,"0.0%")</f>
        <v/>
      </c>
      <c r="B9" s="13" t="n"/>
      <c r="D9">
        <f>Calculations!A27</f>
        <v/>
      </c>
      <c r="E9" s="16">
        <f>Calculations!B27</f>
        <v/>
      </c>
      <c r="F9" s="16">
        <f>Calculations!F27</f>
        <v/>
      </c>
    </row>
    <row r="10">
      <c r="A10" s="12" t="inlineStr">
        <is>
          <t>Total Units</t>
        </is>
      </c>
      <c r="B10" s="13" t="n"/>
      <c r="D10">
        <f>Calculations!A28</f>
        <v/>
      </c>
      <c r="E10" s="16">
        <f>Calculations!B28</f>
        <v/>
      </c>
      <c r="F10" s="16">
        <f>Calculations!F28</f>
        <v/>
      </c>
    </row>
    <row r="11">
      <c r="A11" s="19">
        <f>SUM(Calculations!D3:D28)</f>
        <v/>
      </c>
      <c r="B11" s="13" t="n"/>
    </row>
    <row r="14">
      <c r="D14" s="20" t="inlineStr">
        <is>
          <t>AUTO-GENERATED INSIGHTS</t>
        </is>
      </c>
    </row>
    <row r="15" ht="30" customHeight="1">
      <c r="D15" s="21">
        <f>"Top Region: " &amp; INDEX(Calculations!H17:H21, MATCH(MAX(Calculations!I17:I21), Calculations!I17:I21, 0)) &amp; " (" &amp; TEXT(MAX(Calculations!I17:I21)/SUM(Calculations!I17:I21),"0%") &amp; " of revenue)"</f>
        <v/>
      </c>
    </row>
    <row r="16" ht="30" customHeight="1">
      <c r="D16" s="21">
        <f>"Top Category: " &amp; INDEX(Calculations!H3:H7, MATCH(MAX(Calculations!I3:I7), Calculations!I3:I7, 0)) &amp; " (" &amp; TEXT(MAX(Calculations!I3:I7)/SUM(Calculations!I3:I7),"0%") &amp; " of revenue)"</f>
        <v/>
      </c>
    </row>
    <row r="17" ht="30" customHeight="1">
      <c r="D17" s="21">
        <f>"Best Profit Margin: " &amp; INDEX(Calculations!H17:H21, MATCH(MAX(Calculations!K17:K21), Calculations!K17:K21, 0)) &amp; " (" &amp; TEXT(MAX(Calculations!K17:K21)/100,"0.0%") &amp; ")"</f>
        <v/>
      </c>
    </row>
    <row r="18" ht="30" customHeight="1">
      <c r="D18" s="21">
        <f>"Forecast Growth: " &amp; TEXT((Calculations!B33/Calculations!B28-1),"0.0%") &amp; " (next month vs last month)"</f>
        <v/>
      </c>
    </row>
    <row r="19" ht="30" customHeight="1">
      <c r="D19" s="21">
        <f>"Total Products Analyzed: " &amp; COUNTA(UNIQUE(RawData!B:B))-1</f>
        <v/>
      </c>
    </row>
  </sheetData>
  <mergeCells count="17">
    <mergeCell ref="A4:B4"/>
    <mergeCell ref="D19:F19"/>
    <mergeCell ref="D14:F14"/>
    <mergeCell ref="A7:B7"/>
    <mergeCell ref="A1:F1"/>
    <mergeCell ref="A11:B11"/>
    <mergeCell ref="A10:B10"/>
    <mergeCell ref="A5:B5"/>
    <mergeCell ref="D18:F18"/>
    <mergeCell ref="D3:F3"/>
    <mergeCell ref="D17:F17"/>
    <mergeCell ref="D15:F15"/>
    <mergeCell ref="D16:F16"/>
    <mergeCell ref="A9:B9"/>
    <mergeCell ref="A8:B8"/>
    <mergeCell ref="A3:B3"/>
    <mergeCell ref="A6:B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2026-05-04T08:09:40Z</dcterms:created>
  <dcterms:modified xmlns:dcterms="http://purl.org/dc/terms/" xmlns:xsi="http://www.w3.org/2001/XMLSchema-instance" xsi:type="dcterms:W3CDTF">2026-05-04T08:09:40Z</dcterms:modified>
</cp:coreProperties>
</file>